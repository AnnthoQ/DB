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ENATI\Desktop\"/>
    </mc:Choice>
  </mc:AlternateContent>
  <xr:revisionPtr revIDLastSave="0" documentId="8_{D21167C6-3F7F-6F4C-8057-93B486BC6D08}" xr6:coauthVersionLast="47" xr6:coauthVersionMax="47" xr10:uidLastSave="{00000000-0000-0000-0000-000000000000}"/>
  <bookViews>
    <workbookView xWindow="0" yWindow="0" windowWidth="20490" windowHeight="7815" tabRatio="500" xr2:uid="{00000000-000D-0000-FFFF-FFFF00000000}"/>
  </bookViews>
  <sheets>
    <sheet name="Caratula" sheetId="8" r:id="rId1"/>
    <sheet name="Libros Contables" sheetId="1" r:id="rId2"/>
    <sheet name="T Contables" sheetId="2" r:id="rId3"/>
    <sheet name="Cuentas de Valuación" sheetId="3" r:id="rId4"/>
    <sheet name="Diario Simplificado" sheetId="4" r:id="rId5"/>
    <sheet name="Estados Financieros" sheetId="5" r:id="rId6"/>
    <sheet name="Conclusiones" sheetId="6" r:id="rId7"/>
    <sheet name="Fuentes" sheetId="7" r:id="rId8"/>
  </sheets>
  <definedNames>
    <definedName name="_xlnm.Print_Area" localSheetId="0">Caratula!$AI$62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6" i="4" l="1"/>
  <c r="Q21" i="4"/>
  <c r="G16" i="4"/>
  <c r="G20" i="4"/>
  <c r="B39" i="1"/>
  <c r="O15" i="4"/>
  <c r="O19" i="4"/>
  <c r="G19" i="4"/>
  <c r="S16" i="4"/>
  <c r="Q20" i="4"/>
  <c r="G21" i="4"/>
  <c r="B30" i="1"/>
  <c r="B36" i="1"/>
  <c r="N14" i="4"/>
  <c r="H11" i="4"/>
  <c r="H21" i="4"/>
  <c r="C11" i="4"/>
  <c r="B39" i="3"/>
  <c r="B34" i="3"/>
  <c r="B21" i="3"/>
  <c r="B20" i="3"/>
  <c r="B12" i="3"/>
  <c r="B9" i="3"/>
  <c r="B10" i="3"/>
  <c r="B11" i="3"/>
  <c r="B13" i="3"/>
  <c r="B6" i="3"/>
  <c r="N45" i="2"/>
  <c r="I45" i="2"/>
  <c r="D45" i="2"/>
  <c r="L42" i="2"/>
  <c r="L45" i="2"/>
  <c r="L36" i="2"/>
  <c r="I36" i="2"/>
  <c r="B36" i="2"/>
  <c r="L27" i="2"/>
  <c r="G27" i="2"/>
  <c r="D27" i="2"/>
  <c r="B24" i="2"/>
  <c r="B27" i="2"/>
  <c r="B28" i="2"/>
  <c r="B29" i="5"/>
  <c r="D15" i="2"/>
  <c r="D18" i="2"/>
  <c r="B18" i="2"/>
  <c r="D19" i="2"/>
  <c r="I9" i="2"/>
  <c r="F14" i="4"/>
  <c r="N6" i="2"/>
  <c r="N9" i="2"/>
  <c r="F52" i="1"/>
  <c r="F51" i="1"/>
  <c r="B43" i="1"/>
  <c r="B40" i="1"/>
  <c r="B41" i="1"/>
  <c r="E15" i="4"/>
  <c r="B31" i="1"/>
  <c r="B32" i="1"/>
  <c r="B7" i="3"/>
  <c r="B27" i="1"/>
  <c r="B24" i="1"/>
  <c r="B23" i="1"/>
  <c r="M11" i="4"/>
  <c r="L46" i="2"/>
  <c r="B12" i="5"/>
  <c r="N46" i="2"/>
  <c r="K14" i="4"/>
  <c r="B47" i="3"/>
  <c r="F53" i="1"/>
  <c r="P17" i="4"/>
  <c r="I17" i="4"/>
  <c r="B24" i="5"/>
  <c r="B15" i="3"/>
  <c r="S11" i="4"/>
  <c r="B28" i="1"/>
  <c r="N19" i="4"/>
  <c r="N21" i="4"/>
  <c r="M20" i="4"/>
  <c r="D33" i="2"/>
  <c r="D36" i="2"/>
  <c r="M19" i="4"/>
  <c r="F47" i="1"/>
  <c r="B6" i="2"/>
  <c r="G33" i="2"/>
  <c r="G36" i="2"/>
  <c r="G37" i="2"/>
  <c r="C7" i="5"/>
  <c r="I37" i="2"/>
  <c r="B22" i="3"/>
  <c r="B23" i="3"/>
  <c r="O20" i="4"/>
  <c r="O21" i="4"/>
  <c r="B42" i="2"/>
  <c r="B45" i="2"/>
  <c r="N20" i="4"/>
  <c r="M21" i="4"/>
  <c r="B38" i="3"/>
  <c r="B40" i="3"/>
  <c r="B25" i="1"/>
  <c r="E12" i="4"/>
  <c r="B33" i="1"/>
  <c r="R14" i="4"/>
  <c r="N15" i="2"/>
  <c r="N18" i="2"/>
  <c r="S15" i="4"/>
  <c r="B19" i="2"/>
  <c r="D28" i="2"/>
  <c r="F13" i="4"/>
  <c r="H19" i="4"/>
  <c r="B37" i="1"/>
  <c r="Q19" i="4"/>
  <c r="H20" i="4"/>
  <c r="F19" i="4"/>
  <c r="L6" i="2"/>
  <c r="L9" i="2"/>
  <c r="F21" i="4"/>
  <c r="F20" i="4"/>
  <c r="B34" i="1"/>
  <c r="C14" i="4"/>
  <c r="F50" i="1"/>
  <c r="B35" i="1"/>
  <c r="D14" i="4"/>
  <c r="B46" i="2"/>
  <c r="B10" i="5"/>
  <c r="D46" i="2"/>
  <c r="I20" i="4"/>
  <c r="S17" i="4"/>
  <c r="I19" i="4"/>
  <c r="I24" i="2"/>
  <c r="I27" i="2"/>
  <c r="I21" i="4"/>
  <c r="K21" i="4"/>
  <c r="K20" i="4"/>
  <c r="I15" i="2"/>
  <c r="I18" i="2"/>
  <c r="K19" i="4"/>
  <c r="E20" i="4"/>
  <c r="E19" i="4"/>
  <c r="L15" i="2"/>
  <c r="L18" i="2"/>
  <c r="L19" i="2"/>
  <c r="E21" i="4"/>
  <c r="C32" i="3"/>
  <c r="C33" i="3"/>
  <c r="C29" i="3"/>
  <c r="C30" i="3"/>
  <c r="C31" i="3"/>
  <c r="J13" i="4"/>
  <c r="G16" i="2"/>
  <c r="B46" i="3"/>
  <c r="P21" i="4"/>
  <c r="G42" i="2"/>
  <c r="G45" i="2"/>
  <c r="P20" i="4"/>
  <c r="P19" i="4"/>
  <c r="B29" i="1"/>
  <c r="B8" i="3"/>
  <c r="B38" i="1"/>
  <c r="N19" i="2"/>
  <c r="B45" i="3"/>
  <c r="B48" i="3"/>
  <c r="B42" i="1"/>
  <c r="J12" i="4"/>
  <c r="R19" i="4"/>
  <c r="R21" i="4"/>
  <c r="R20" i="4"/>
  <c r="N33" i="2"/>
  <c r="N36" i="2"/>
  <c r="B26" i="1"/>
  <c r="D37" i="2"/>
  <c r="B39" i="5"/>
  <c r="B37" i="2"/>
  <c r="F49" i="1"/>
  <c r="L13" i="4"/>
  <c r="D21" i="4"/>
  <c r="D20" i="4"/>
  <c r="G6" i="2"/>
  <c r="G9" i="2"/>
  <c r="D19" i="4"/>
  <c r="D33" i="3"/>
  <c r="E33" i="3"/>
  <c r="D29" i="3"/>
  <c r="E29" i="3"/>
  <c r="C34" i="3"/>
  <c r="D30" i="3"/>
  <c r="E30" i="3"/>
  <c r="D31" i="3"/>
  <c r="E31" i="3"/>
  <c r="D32" i="3"/>
  <c r="E32" i="3"/>
  <c r="I28" i="2"/>
  <c r="G28" i="2"/>
  <c r="S14" i="4"/>
  <c r="B7" i="2"/>
  <c r="B9" i="2"/>
  <c r="F48" i="1"/>
  <c r="C12" i="4"/>
  <c r="N37" i="2"/>
  <c r="C6" i="5"/>
  <c r="L37" i="2"/>
  <c r="B26" i="5"/>
  <c r="B41" i="3"/>
  <c r="L10" i="2"/>
  <c r="N10" i="2"/>
  <c r="J19" i="4"/>
  <c r="G15" i="2"/>
  <c r="G18" i="2"/>
  <c r="G19" i="2"/>
  <c r="J21" i="4"/>
  <c r="J20" i="4"/>
  <c r="G46" i="2"/>
  <c r="B11" i="5"/>
  <c r="C13" i="5"/>
  <c r="I46" i="2"/>
  <c r="B9" i="6"/>
  <c r="B49" i="3"/>
  <c r="B25" i="5"/>
  <c r="I19" i="2"/>
  <c r="D6" i="2"/>
  <c r="D9" i="2"/>
  <c r="B10" i="2"/>
  <c r="B21" i="5"/>
  <c r="S12" i="4"/>
  <c r="D10" i="2"/>
  <c r="C21" i="4"/>
  <c r="L21" i="4"/>
  <c r="S21" i="4"/>
  <c r="C19" i="4"/>
  <c r="C20" i="4"/>
  <c r="L20" i="4"/>
  <c r="N24" i="2"/>
  <c r="N27" i="2"/>
  <c r="L19" i="4"/>
  <c r="C8" i="5"/>
  <c r="C14" i="5"/>
  <c r="C15" i="5"/>
  <c r="B8" i="6"/>
  <c r="B23" i="5"/>
  <c r="B14" i="3"/>
  <c r="B16" i="3"/>
  <c r="S13" i="4"/>
  <c r="B30" i="5"/>
  <c r="C31" i="5"/>
  <c r="B24" i="3"/>
  <c r="B25" i="3"/>
  <c r="G10" i="2"/>
  <c r="B22" i="5"/>
  <c r="I10" i="2"/>
  <c r="C27" i="5"/>
  <c r="C32" i="5"/>
  <c r="N28" i="2"/>
  <c r="B35" i="5"/>
  <c r="C36" i="5"/>
  <c r="L28" i="2"/>
  <c r="B40" i="5"/>
  <c r="C41" i="5"/>
  <c r="B6" i="6"/>
  <c r="B5" i="6"/>
  <c r="S20" i="4"/>
  <c r="S19" i="4"/>
  <c r="B4" i="6"/>
  <c r="A22" i="4"/>
  <c r="C42" i="5"/>
  <c r="C44" i="5"/>
  <c r="B7" i="6"/>
</calcChain>
</file>

<file path=xl/sharedStrings.xml><?xml version="1.0" encoding="utf-8"?>
<sst xmlns="http://schemas.openxmlformats.org/spreadsheetml/2006/main" count="459" uniqueCount="323">
  <si>
    <t>COMERCIAL EL ANDINO S.A.C. – Libros contables: parámetros y sustento de operaciones</t>
  </si>
  <si>
    <t>A. PARÁMETROS DEL ENUNCIADO</t>
  </si>
  <si>
    <t>Concepto</t>
  </si>
  <si>
    <t>Valor</t>
  </si>
  <si>
    <t>Unidad</t>
  </si>
  <si>
    <t>Fuente / nota</t>
  </si>
  <si>
    <t>Tasa del IGV</t>
  </si>
  <si>
    <t>%</t>
  </si>
  <si>
    <t>Enunciado: operaciones sujetas al IGV del 18% donde corresponda</t>
  </si>
  <si>
    <t>Aporte en efectivo (depositado en banco)</t>
  </si>
  <si>
    <t>S/</t>
  </si>
  <si>
    <t>Operación 1</t>
  </si>
  <si>
    <t>Aporte en equipos de cómputo</t>
  </si>
  <si>
    <t>Operación 1; el valor aportado es el costo del activo</t>
  </si>
  <si>
    <t>Alquiler mensual (valor de venta, sin IGV)</t>
  </si>
  <si>
    <t>Operación 2</t>
  </si>
  <si>
    <t>Meses de alquiler pagados por adelantado</t>
  </si>
  <si>
    <t>meses</t>
  </si>
  <si>
    <t>Operación 2: octubre, noviembre y diciembre</t>
  </si>
  <si>
    <t>Unidades compradas (licuadoras industriales)</t>
  </si>
  <si>
    <t>unid.</t>
  </si>
  <si>
    <t>Operación 3; factura 001-0465</t>
  </si>
  <si>
    <t>Costo unitario de compra (sin IGV)</t>
  </si>
  <si>
    <t>Operación 3</t>
  </si>
  <si>
    <t>% del inventario vendido</t>
  </si>
  <si>
    <t>Operación 4</t>
  </si>
  <si>
    <t>Precio de venta unitario (sin IGV)</t>
  </si>
  <si>
    <t>Operación 4. Supuesto: S/ 400 es valor de venta y el IGV se suma</t>
  </si>
  <si>
    <t>% de la venta cobrado al contado (banco)</t>
  </si>
  <si>
    <t>Operación 4; el resto es crédito a 30 días</t>
  </si>
  <si>
    <t>Unidades deterioradas por filtración de agua</t>
  </si>
  <si>
    <t>Operación 6</t>
  </si>
  <si>
    <t>Desvalorización provisionada por gerencia</t>
  </si>
  <si>
    <t>Vida útil del equipo de cómputo</t>
  </si>
  <si>
    <t>años</t>
  </si>
  <si>
    <t>Operación 7. Supuesto: línea recta y sin valor residual</t>
  </si>
  <si>
    <t>B. CÁLCULOS DE SOPORTE (todos con fórmula)</t>
  </si>
  <si>
    <t>Importe</t>
  </si>
  <si>
    <t>Cálculo operativo</t>
  </si>
  <si>
    <t>Capital social total</t>
  </si>
  <si>
    <t>Aporte en efectivo + aporte en equipos</t>
  </si>
  <si>
    <t>Alquiler adelantado (valor de venta)</t>
  </si>
  <si>
    <t>Alquiler mensual × meses pagados</t>
  </si>
  <si>
    <t>IGV del alquiler (crédito fiscal)</t>
  </si>
  <si>
    <t>Valor de venta × 18%</t>
  </si>
  <si>
    <t>Total pagado por transferencia bancaria</t>
  </si>
  <si>
    <t>Valor + IGV; el enunciado indica S/ 7,080</t>
  </si>
  <si>
    <t>Valor de la compra de mercaderías</t>
  </si>
  <si>
    <t>Unidades × costo unitario</t>
  </si>
  <si>
    <t>IGV de la compra (crédito fiscal)</t>
  </si>
  <si>
    <t>Valor de compra × 18%</t>
  </si>
  <si>
    <t>Total factura 001-0465 por pagar</t>
  </si>
  <si>
    <t>Valor + IGV</t>
  </si>
  <si>
    <t>Unidades vendidas</t>
  </si>
  <si>
    <t>Unidades compradas × % vendido</t>
  </si>
  <si>
    <t>Valor de venta</t>
  </si>
  <si>
    <t>Unidades vendidas × precio unitario</t>
  </si>
  <si>
    <t>IGV de la venta (débito fiscal)</t>
  </si>
  <si>
    <t>Total de la venta (con IGV)</t>
  </si>
  <si>
    <t>Cobro al contado en banco</t>
  </si>
  <si>
    <t>Total × % contado</t>
  </si>
  <si>
    <t>Saldo por cobrar a 30 días</t>
  </si>
  <si>
    <t>Total − cobro al contado</t>
  </si>
  <si>
    <t>Costo de ventas</t>
  </si>
  <si>
    <t>Unidades vendidas × costo unitario</t>
  </si>
  <si>
    <t>Unidades en almacén tras la venta</t>
  </si>
  <si>
    <t>Compradas − vendidas</t>
  </si>
  <si>
    <t>Existencias finales al costo</t>
  </si>
  <si>
    <t>Unidades restantes × costo unitario</t>
  </si>
  <si>
    <t>Alquiler devengado de octubre</t>
  </si>
  <si>
    <t>Un mes de alquiler (valor sin IGV)</t>
  </si>
  <si>
    <t>Depreciación anual</t>
  </si>
  <si>
    <t>Costo ÷ vida útil en años</t>
  </si>
  <si>
    <t>Depreciación mensual</t>
  </si>
  <si>
    <t>Depreciación anual ÷ 12</t>
  </si>
  <si>
    <t>IGV: saldo a favor (crédito − débito fiscal)</t>
  </si>
  <si>
    <t>IGV alquiler + IGV compra − IGV ventas</t>
  </si>
  <si>
    <t>Control: unid. deterioradas × costo unitario</t>
  </si>
  <si>
    <t>Debe coincidir con la provisión de gerencia</t>
  </si>
  <si>
    <t>C. SUSTENTO Y EXPLICACIÓN OPERATIVA POR OPERACIÓN</t>
  </si>
  <si>
    <t>Operación</t>
  </si>
  <si>
    <t>Fecha</t>
  </si>
  <si>
    <t>Operación N°</t>
  </si>
  <si>
    <t>Sustento sugerido</t>
  </si>
  <si>
    <t>Importe (S/)</t>
  </si>
  <si>
    <t>Cuentas afectadas</t>
  </si>
  <si>
    <t>1. Constitución y aportes de los socios</t>
  </si>
  <si>
    <t>01/10/2026</t>
  </si>
  <si>
    <t>Escritura pública de constitución; voucher de depósito en cuenta bancaria; acta o inventario de aporte de los equipos de cómputo.</t>
  </si>
  <si>
    <t>Capital = aporte en efectivo + aporte en equipos. Se carga Bancos y el activo fijo recibido; se abona Capital social.</t>
  </si>
  <si>
    <t>Debe: 104, 3361 / Haber: 501</t>
  </si>
  <si>
    <t>2. Pago adelantado del alquiler (3 meses)</t>
  </si>
  <si>
    <t>03/10/2026</t>
  </si>
  <si>
    <t>Factura del arrendador por 3 meses; constancia de la transferencia bancaria. El enunciado no da número de comprobante.</t>
  </si>
  <si>
    <t>Valor = alquiler mensual × 3. IGV = valor × 18% (crédito fiscal). Total pagado = valor + IGV. El valor se difiere en Cargas diferidas porque corresponde a meses futuros.</t>
  </si>
  <si>
    <t>Debe: 379, 40111 / Haber: 104</t>
  </si>
  <si>
    <t>3. Compra al crédito de 100 licuadoras industriales</t>
  </si>
  <si>
    <t>08/10/2026</t>
  </si>
  <si>
    <t>Factura N° 001-0465 del proveedor; guía de remisión e ingreso a almacén.</t>
  </si>
  <si>
    <t>Valor = 100 × S/ 200. IGV = valor × 18%. Total por pagar = valor + IGV. Se carga Mercaderías (201) por el valor y el IGV; se abona la factura por pagar.</t>
  </si>
  <si>
    <t>Debe: 201, 40111 / Haber: 4212</t>
  </si>
  <si>
    <t>4. Venta del 60% del inventario a Comercial Lima y su costo</t>
  </si>
  <si>
    <t>15/10/2026</t>
  </si>
  <si>
    <t>Factura de venta; abono bancario por el cobro al contado; cronograma del crédito a 30 días; kárdex valorizado.</t>
  </si>
  <si>
    <t>Unidades = 100 × 60%. Valor = unidades × S/ 400. IGV = valor × 18%. Total = valor + IGV; 50% se cobra en banco y 50% queda por cobrar a 30 días. Costo de ventas = unidades vendidas × S/ 200, con salida de Mercaderías.</t>
  </si>
  <si>
    <t>Debe: 104, 1212, 691 / Haber: 40111, 701, 201</t>
  </si>
  <si>
    <t>5. Devengo del alquiler de octubre</t>
  </si>
  <si>
    <t>31/10/2026</t>
  </si>
  <si>
    <t>Factura del alquiler (operación 2); papeleta de devengo.</t>
  </si>
  <si>
    <t>Gasto del mes = alquiler mensual sin IGV. Se traslada de Cargas diferidas (379) a Gasto de alquileres (634). Quedan 2 meses por devengar.</t>
  </si>
  <si>
    <t>Debe: 634 / Haber: 379</t>
  </si>
  <si>
    <t>6. Desvalorización de existencias</t>
  </si>
  <si>
    <t>Acta de inventario físico al 31/10; informe de gerencia sobre el deterioro.</t>
  </si>
  <si>
    <t>Según NIC 2 las existencias se miden al menor entre costo y valor neto realizable. Verificación: 5 unid. × S/ 200 = provisión. Cargo a gasto (685) y abono a la cuenta correctora 291.</t>
  </si>
  <si>
    <t>Debe: 685 / Haber: 291</t>
  </si>
  <si>
    <t>7. Depreciación mensual del equipo de cómputo</t>
  </si>
  <si>
    <t>Cuadro de depreciación del activo fijo.</t>
  </si>
  <si>
    <t>Depreciación anual = costo ÷ 4 años. Mensual = anual ÷ 12. Cargo a gasto (681) y abono a Depreciación acumulada (3913).</t>
  </si>
  <si>
    <t>Debe: 681 / Haber: 3913</t>
  </si>
  <si>
    <t>104 – Cuentas corrientes en instituciones financieras</t>
  </si>
  <si>
    <t>1212 – Facturas, boletas y otros comprobantes por cobrar – Emitidas en cartera</t>
  </si>
  <si>
    <t>201 – Mercaderías manufacturadas</t>
  </si>
  <si>
    <t>DEBE</t>
  </si>
  <si>
    <t>HABER</t>
  </si>
  <si>
    <t>Total</t>
  </si>
  <si>
    <t>S. deudor</t>
  </si>
  <si>
    <t>S. acreedor</t>
  </si>
  <si>
    <t>291 – Desvalorización de existencias – Mercaderías</t>
  </si>
  <si>
    <t>40111 – IGV – Cuenta propia</t>
  </si>
  <si>
    <t>379 – Cargas diferidas</t>
  </si>
  <si>
    <t>3361 – Equipos para procesamiento de información</t>
  </si>
  <si>
    <t>3913 – Depreciación acumulada – Inmuebles, maquinaria y equipo</t>
  </si>
  <si>
    <t>4212 – Facturas, boletas y otros comprobantes por pagar – Emitidas</t>
  </si>
  <si>
    <t>501 – Capital social</t>
  </si>
  <si>
    <t>691 – Costo de ventas – Mercaderías</t>
  </si>
  <si>
    <t>701 – Ventas – Mercaderías</t>
  </si>
  <si>
    <t>634 – Gastos por servicios de terceros – Alquileres</t>
  </si>
  <si>
    <t>681 – Depreciación de inmuebles, maquinaria y equipo</t>
  </si>
  <si>
    <t>685 – Deterioro del valor de los activos (desvalorización de existencias)</t>
  </si>
  <si>
    <t>CUENTAS DE VALUACIÓN Y AJUSTES</t>
  </si>
  <si>
    <t>1. Desvalorización de existencias (cuenta 291) – NIC 2</t>
  </si>
  <si>
    <t>Importe / cantidad</t>
  </si>
  <si>
    <t>Explicación operativa</t>
  </si>
  <si>
    <t>Unidades compradas</t>
  </si>
  <si>
    <t>Unidades en almacén al 31/10</t>
  </si>
  <si>
    <t>Unidades deterioradas por filtración</t>
  </si>
  <si>
    <t>Detectadas en el inventario físico</t>
  </si>
  <si>
    <t>Costo unitario</t>
  </si>
  <si>
    <t>Costo de adquisición sin IGV</t>
  </si>
  <si>
    <t>Desvalorización según costo</t>
  </si>
  <si>
    <t>Unidades deterioradas × costo unitario</t>
  </si>
  <si>
    <t>Importe registrado en la operación 6</t>
  </si>
  <si>
    <t>Diferencia de control</t>
  </si>
  <si>
    <t>Debe ser cero</t>
  </si>
  <si>
    <t>Mercaderías al costo (cuenta 201)</t>
  </si>
  <si>
    <t>Saldo de la T contable de mercaderías</t>
  </si>
  <si>
    <t>(−) Desvalorización de existencias (291)</t>
  </si>
  <si>
    <t>Cuenta correctora de saldo acreedor</t>
  </si>
  <si>
    <t>Mercaderías netas en el balance</t>
  </si>
  <si>
    <t>Valor en libros después de la desvalorización</t>
  </si>
  <si>
    <t>2. Depreciación acumulada (cuenta 3913) – NIC 16</t>
  </si>
  <si>
    <t>Costo del equipo de cómputo</t>
  </si>
  <si>
    <t>Valor aportado por los socios</t>
  </si>
  <si>
    <t>Vida útil (años)</t>
  </si>
  <si>
    <t>Dato del enunciado</t>
  </si>
  <si>
    <t>Línea recta, sin valor residual (supuesto)</t>
  </si>
  <si>
    <t>Anual ÷ 12 meses</t>
  </si>
  <si>
    <t>Depreciación acumulada al 31/10/2026</t>
  </si>
  <si>
    <t>Un mes de depreciación</t>
  </si>
  <si>
    <t>Valor neto en libros del equipo</t>
  </si>
  <si>
    <t>Costo − depreciación acumulada</t>
  </si>
  <si>
    <t>Cronograma referencial de depreciación (inicio en octubre 2026)</t>
  </si>
  <si>
    <t>Año</t>
  </si>
  <si>
    <t>Meses</t>
  </si>
  <si>
    <t>Depreciación del año</t>
  </si>
  <si>
    <t>Depreciación acumulada</t>
  </si>
  <si>
    <t>Valor neto</t>
  </si>
  <si>
    <t>2026 (oct–dic)</t>
  </si>
  <si>
    <t>2027</t>
  </si>
  <si>
    <t>2028</t>
  </si>
  <si>
    <t>2029</t>
  </si>
  <si>
    <t>2030 (ene–sep)</t>
  </si>
  <si>
    <t>3. Cargas diferidas – alquiler adelantado (cuenta 379)</t>
  </si>
  <si>
    <t>Alquiler pagado por adelantado (sin IGV)</t>
  </si>
  <si>
    <t>3 meses × alquiler mensual</t>
  </si>
  <si>
    <t>(−) Gasto devengado en octubre</t>
  </si>
  <si>
    <t>Un mes de alquiler</t>
  </si>
  <si>
    <t>Saldo por devengar (nov–dic)</t>
  </si>
  <si>
    <t>Se presenta como gasto pagado por anticipado</t>
  </si>
  <si>
    <t>Control: saldo de la T contable 379</t>
  </si>
  <si>
    <t>Debe coincidir con la línea anterior</t>
  </si>
  <si>
    <t>4. IGV – cuenta propia (40111)</t>
  </si>
  <si>
    <t>Crédito fiscal por el alquiler</t>
  </si>
  <si>
    <t>Crédito fiscal por la compra de mercaderías</t>
  </si>
  <si>
    <t>(−) Débito fiscal por la venta</t>
  </si>
  <si>
    <t>Saldo a favor del contribuyente</t>
  </si>
  <si>
    <t>Se arrastra al período siguiente; en el balance es activo</t>
  </si>
  <si>
    <t>Control: saldo deudor de la T contable 40111</t>
  </si>
  <si>
    <t>FORMATO 5.2: "LIBRO DIARIO - FORMATO SIMPLIFICADO"</t>
  </si>
  <si>
    <t>PERÍODO:</t>
  </si>
  <si>
    <t>OCTUBRE 2026</t>
  </si>
  <si>
    <t>RUC:</t>
  </si>
  <si>
    <t>20601234567</t>
  </si>
  <si>
    <t>APELLIDOS Y NOMBRES, DENOMINACIÓN O RAZÓN SOCIAL:</t>
  </si>
  <si>
    <t>COMERCIAL EL ANDINO S.A.C.</t>
  </si>
  <si>
    <t>Fecha o período de la operación</t>
  </si>
  <si>
    <t>Descripción de la operación (glosa)</t>
  </si>
  <si>
    <t>ACTIVO (TABLA 9)</t>
  </si>
  <si>
    <t>PASIVO (TABLA 9)</t>
  </si>
  <si>
    <t>PATRIMONIO (TABLA 9)</t>
  </si>
  <si>
    <t>GASTOS (TABLA 9)</t>
  </si>
  <si>
    <t>INGRESOS (TABLA 9)</t>
  </si>
  <si>
    <t>Control (suma de la fila = 0)</t>
  </si>
  <si>
    <t>104</t>
  </si>
  <si>
    <t>1212</t>
  </si>
  <si>
    <t>379</t>
  </si>
  <si>
    <t>201</t>
  </si>
  <si>
    <t>291</t>
  </si>
  <si>
    <t>3361</t>
  </si>
  <si>
    <t>3913</t>
  </si>
  <si>
    <t>40111 D</t>
  </si>
  <si>
    <t>40111 H</t>
  </si>
  <si>
    <t>4212</t>
  </si>
  <si>
    <t>501</t>
  </si>
  <si>
    <t>691</t>
  </si>
  <si>
    <t>634</t>
  </si>
  <si>
    <t>681</t>
  </si>
  <si>
    <t>685</t>
  </si>
  <si>
    <t>701</t>
  </si>
  <si>
    <t>Cuentas corrientes</t>
  </si>
  <si>
    <t>Cuentas por cobrar comerc.</t>
  </si>
  <si>
    <t>Alquileres pagados x anticip.</t>
  </si>
  <si>
    <t>Mercaderías</t>
  </si>
  <si>
    <t>Desvalorización de existencias</t>
  </si>
  <si>
    <t>Equipos de cómputo</t>
  </si>
  <si>
    <t>Deprec. acum. de PPE</t>
  </si>
  <si>
    <t>IGV crédito fiscal (Debe)</t>
  </si>
  <si>
    <t>IGV débito fiscal (Haber)</t>
  </si>
  <si>
    <t>Facturas por pagar</t>
  </si>
  <si>
    <t>Capital social</t>
  </si>
  <si>
    <t>Alquileres</t>
  </si>
  <si>
    <t>Deprec. de PPE</t>
  </si>
  <si>
    <t>Desvalor. de existencias</t>
  </si>
  <si>
    <t>Ventas mercaderías</t>
  </si>
  <si>
    <t>Constitución de la empresa con aportes de los socios en efectivo y en equipos de cómputo.</t>
  </si>
  <si>
    <t>Pago adelantado del alquiler del local por 3 meses (oct–dic) más IGV, por transferencia bancaria.</t>
  </si>
  <si>
    <t>Compra al crédito de 100 licuadoras industriales, factura 001-0465.</t>
  </si>
  <si>
    <t>Venta a Comercial Lima del 60% del inventario (50% al contado en banco, 50% a 30 días) y su costo de ventas.</t>
  </si>
  <si>
    <t>Devengo del gasto de alquiler del mes de octubre.</t>
  </si>
  <si>
    <t>Provisión por desvalorización de 5 unidades deterioradas por filtración de agua.</t>
  </si>
  <si>
    <t>Depreciación mensual del equipo de cómputo (S/ 12,000, vida útil 4 años).</t>
  </si>
  <si>
    <t>TOTALES (saldo neto de cada columna)</t>
  </si>
  <si>
    <t>Total movimientos al DEBE</t>
  </si>
  <si>
    <t>Total movimientos al HABER</t>
  </si>
  <si>
    <t>ESTADO DE RESULTADOS (por función) – del 01/10/2026 al 31/10/2026</t>
  </si>
  <si>
    <t>Detalle</t>
  </si>
  <si>
    <t>Ventas netas</t>
  </si>
  <si>
    <t>(−) Costo de ventas</t>
  </si>
  <si>
    <t>UTILIDAD BRUTA</t>
  </si>
  <si>
    <t>Gastos operativos</t>
  </si>
  <si>
    <t xml:space="preserve">   Gastos de alquiler</t>
  </si>
  <si>
    <t xml:space="preserve">   Depreciación del equipo de cómputo</t>
  </si>
  <si>
    <t xml:space="preserve">   Desvalorización de existencias</t>
  </si>
  <si>
    <t>Total gastos operativos</t>
  </si>
  <si>
    <t>UTILIDAD OPERATIVA</t>
  </si>
  <si>
    <t>RESULTADO DEL EJERCICIO (antes de impuesto a la renta)</t>
  </si>
  <si>
    <t>ESTADO DE SITUACIÓN FINANCIERA – al 31/10/2026</t>
  </si>
  <si>
    <t>ACTIVO</t>
  </si>
  <si>
    <t>Activo corriente</t>
  </si>
  <si>
    <t xml:space="preserve">   Efectivo y equivalentes de efectivo (104)</t>
  </si>
  <si>
    <t xml:space="preserve">   Cuentas por cobrar comerciales (1212)</t>
  </si>
  <si>
    <t xml:space="preserve">   Mercaderías al costo (201)</t>
  </si>
  <si>
    <t xml:space="preserve">   (−) Desvalorización de existencias (291)</t>
  </si>
  <si>
    <t xml:space="preserve">   Crédito fiscal IGV (40111)</t>
  </si>
  <si>
    <t xml:space="preserve">   Gastos pagados por anticipado – alquiler (379)</t>
  </si>
  <si>
    <t>Total activo corriente</t>
  </si>
  <si>
    <t>Activo no corriente</t>
  </si>
  <si>
    <t xml:space="preserve">   Equipos de cómputo al costo (3361)</t>
  </si>
  <si>
    <t xml:space="preserve">   (−) Depreciación acumulada (3913)</t>
  </si>
  <si>
    <t>Total activo no corriente</t>
  </si>
  <si>
    <t>TOTAL ACTIVO</t>
  </si>
  <si>
    <t>PASIVO</t>
  </si>
  <si>
    <t xml:space="preserve">   Cuentas por pagar comerciales – facturas por pagar (4212)</t>
  </si>
  <si>
    <t>TOTAL PASIVO CORRIENTE</t>
  </si>
  <si>
    <t>PATRIMONIO</t>
  </si>
  <si>
    <t xml:space="preserve">   Capital social (501)</t>
  </si>
  <si>
    <t xml:space="preserve">   Resultado del ejercicio</t>
  </si>
  <si>
    <t>TOTAL PATRIMONIO</t>
  </si>
  <si>
    <t>TOTAL PASIVO Y PATRIMONIO</t>
  </si>
  <si>
    <t>Control: Activo − (Pasivo + Patrimonio)</t>
  </si>
  <si>
    <t>CONCLUSIONES</t>
  </si>
  <si>
    <t>El alquiler pagado por adelantado se difiere en cargas diferidas y solo el mes de octubre llega al resultado; los otros dos meses quedan como gasto pagado por anticipado.</t>
  </si>
  <si>
    <t>Limitaciones: no se calculó impuesto a la renta, y los códigos del PCGE deben confirmarse con la versión que use la universidad.</t>
  </si>
  <si>
    <t>FUENTES</t>
  </si>
  <si>
    <t>N°</t>
  </si>
  <si>
    <t>Fuente</t>
  </si>
  <si>
    <t>Uso en el trabajo</t>
  </si>
  <si>
    <t>Enunciado: Tarea Académica 1 – Caso Práctico, Tercera Parte (UTP)</t>
  </si>
  <si>
    <t>Datos de la empresa, operaciones, importes y entregables solicitados.</t>
  </si>
  <si>
    <t>Plan Contable General Empresarial (PCGE) – MEF / Consejo Normativo de Contabilidad</t>
  </si>
  <si>
    <t>Códigos y denominaciones de las cuentas del diario y de las T contables.</t>
  </si>
  <si>
    <t>SUNAT – Formato 5.2 Libro Diario de Formato Simplificado (Res. de Superintendencia N.° 234-2006/SUNAT y modificatorias)</t>
  </si>
  <si>
    <t>Estructura de columnas del Libro Diario Simplificado.</t>
  </si>
  <si>
    <t>NIC 2 Inventarios</t>
  </si>
  <si>
    <t>Medición al menor entre costo y valor neto realizable; desvalorización de existencias.</t>
  </si>
  <si>
    <t>NIC 16 Propiedades, planta y equipo</t>
  </si>
  <si>
    <t>Depreciación del equipo de cómputo en línea recta.</t>
  </si>
  <si>
    <t>NIC 1 Presentación de estados financieros</t>
  </si>
  <si>
    <t>Estructura del estado de situación financiera y del estado de resultados.</t>
  </si>
  <si>
    <t>TUO de la Ley del IGV (D.S. N.° 055-99-EF)</t>
  </si>
  <si>
    <t>Tasa del 18% y tratamiento de crédito y débito fiscal.</t>
  </si>
  <si>
    <t>RUC 20601234567</t>
  </si>
  <si>
    <t>RUC 20601234567 |Período: octubre 2026 | Moneda: soles (S/)</t>
  </si>
  <si>
    <t xml:space="preserve"> </t>
  </si>
  <si>
    <t>T CONTABLES</t>
  </si>
  <si>
    <t>Poma Aquino Roy Anthony</t>
  </si>
  <si>
    <t>Huamani Luque Nick Alexander Walter</t>
  </si>
  <si>
    <t xml:space="preserve">Fernández Kana Érick </t>
  </si>
  <si>
    <t>INTEGRANTES</t>
  </si>
  <si>
    <t>Docente: Velazco Galindo, Angela Giovana</t>
  </si>
  <si>
    <t>Ciclo: 4to ciclo</t>
  </si>
  <si>
    <t>Curso: Contabilidad General</t>
  </si>
  <si>
    <t>Sección:  22312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</si>
</sst>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2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333F4F"/>
      <name val="Arial"/>
      <charset val="1"/>
    </font>
    <font>
      <i/>
      <sz val="10"/>
      <color rgb="FF555555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2"/>
      <name val="Arial"/>
      <charset val="1"/>
    </font>
    <font>
      <sz val="10"/>
      <color rgb="FF595959"/>
      <name val="Arial"/>
      <charset val="1"/>
    </font>
    <font>
      <b/>
      <sz val="10"/>
      <color rgb="FF375623"/>
      <name val="Arial"/>
      <charset val="1"/>
    </font>
    <font>
      <b/>
      <sz val="10"/>
      <color rgb="FF008000"/>
      <name val="Arial"/>
      <charset val="1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name val="Arial"/>
      <family val="2"/>
    </font>
    <font>
      <b/>
      <sz val="14"/>
      <color rgb="FF333F4F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7E9EC"/>
        <bgColor rgb="FFD9E2F3"/>
      </patternFill>
    </fill>
    <fill>
      <patternFill patternType="solid">
        <fgColor rgb="FFA6192E"/>
        <bgColor rgb="FF993366"/>
      </patternFill>
    </fill>
    <fill>
      <patternFill patternType="solid">
        <fgColor rgb="FFD9E2F3"/>
        <bgColor rgb="FFE7E9EC"/>
      </patternFill>
    </fill>
    <fill>
      <patternFill patternType="solid">
        <fgColor theme="0"/>
        <bgColor rgb="FF333F4F"/>
      </patternFill>
    </fill>
    <fill>
      <patternFill patternType="solid">
        <fgColor theme="0"/>
        <bgColor rgb="FFE7E9EC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medium">
        <color rgb="FF333F4F"/>
      </bottom>
      <diagonal/>
    </border>
    <border>
      <left style="thin">
        <color rgb="FF999999"/>
      </left>
      <right/>
      <top/>
      <bottom style="medium">
        <color rgb="FF333F4F"/>
      </bottom>
      <diagonal/>
    </border>
    <border>
      <left/>
      <right style="medium">
        <color rgb="FF333F4F"/>
      </right>
      <top/>
      <bottom/>
      <diagonal/>
    </border>
    <border>
      <left style="medium">
        <color rgb="FF333F4F"/>
      </left>
      <right/>
      <top/>
      <bottom/>
      <diagonal/>
    </border>
    <border>
      <left/>
      <right/>
      <top style="medium">
        <color rgb="FF333F4F"/>
      </top>
      <bottom/>
      <diagonal/>
    </border>
    <border>
      <left/>
      <right style="medium">
        <color rgb="FF333F4F"/>
      </right>
      <top style="medium">
        <color rgb="FF333F4F"/>
      </top>
      <bottom/>
      <diagonal/>
    </border>
    <border>
      <left style="medium">
        <color rgb="FF333F4F"/>
      </left>
      <right/>
      <top style="medium">
        <color rgb="FF333F4F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double">
        <color rgb="FF333F4F"/>
      </bottom>
      <diagonal/>
    </border>
    <border>
      <left/>
      <right style="thin">
        <color rgb="FF999999"/>
      </right>
      <top/>
      <bottom style="medium">
        <color rgb="FF333F4F"/>
      </bottom>
      <diagonal/>
    </border>
    <border>
      <left/>
      <right/>
      <top/>
      <bottom style="thin">
        <color rgb="FF999999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9" fontId="7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164" fontId="7" fillId="0" borderId="1" xfId="0" applyNumberFormat="1" applyFont="1" applyBorder="1"/>
    <xf numFmtId="1" fontId="7" fillId="0" borderId="1" xfId="0" applyNumberFormat="1" applyFont="1" applyBorder="1"/>
    <xf numFmtId="164" fontId="6" fillId="0" borderId="1" xfId="0" applyNumberFormat="1" applyFont="1" applyBorder="1"/>
    <xf numFmtId="1" fontId="6" fillId="0" borderId="1" xfId="0" applyNumberFormat="1" applyFont="1" applyBorder="1"/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164" fontId="6" fillId="0" borderId="1" xfId="0" applyNumberFormat="1" applyFont="1" applyBorder="1" applyAlignment="1">
      <alignment vertical="top"/>
    </xf>
    <xf numFmtId="0" fontId="6" fillId="0" borderId="0" xfId="0" applyFont="1" applyAlignment="1">
      <alignment horizontal="center"/>
    </xf>
    <xf numFmtId="164" fontId="8" fillId="0" borderId="4" xfId="0" applyNumberFormat="1" applyFont="1" applyBorder="1"/>
    <xf numFmtId="0" fontId="6" fillId="0" borderId="5" xfId="0" applyFont="1" applyBorder="1" applyAlignment="1">
      <alignment horizontal="center"/>
    </xf>
    <xf numFmtId="164" fontId="8" fillId="0" borderId="0" xfId="0" applyNumberFormat="1" applyFont="1"/>
    <xf numFmtId="0" fontId="0" fillId="0" borderId="5" xfId="0" applyBorder="1"/>
    <xf numFmtId="164" fontId="0" fillId="0" borderId="0" xfId="0" applyNumberFormat="1"/>
    <xf numFmtId="164" fontId="0" fillId="0" borderId="4" xfId="0" applyNumberFormat="1" applyBorder="1"/>
    <xf numFmtId="0" fontId="4" fillId="0" borderId="6" xfId="0" applyFont="1" applyBorder="1"/>
    <xf numFmtId="164" fontId="4" fillId="0" borderId="7" xfId="0" applyNumberFormat="1" applyFont="1" applyBorder="1"/>
    <xf numFmtId="0" fontId="6" fillId="0" borderId="8" xfId="0" applyFont="1" applyBorder="1"/>
    <xf numFmtId="164" fontId="4" fillId="0" borderId="6" xfId="0" applyNumberFormat="1" applyFont="1" applyBorder="1"/>
    <xf numFmtId="0" fontId="4" fillId="0" borderId="0" xfId="0" applyFont="1"/>
    <xf numFmtId="164" fontId="4" fillId="0" borderId="0" xfId="0" applyNumberFormat="1" applyFont="1"/>
    <xf numFmtId="1" fontId="8" fillId="0" borderId="1" xfId="0" applyNumberFormat="1" applyFont="1" applyBorder="1"/>
    <xf numFmtId="164" fontId="8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1" fontId="4" fillId="0" borderId="1" xfId="0" applyNumberFormat="1" applyFont="1" applyBorder="1"/>
    <xf numFmtId="0" fontId="10" fillId="0" borderId="0" xfId="0" applyFont="1"/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4" fillId="4" borderId="0" xfId="0" applyFont="1" applyFill="1"/>
    <xf numFmtId="0" fontId="0" fillId="4" borderId="0" xfId="0" applyFill="1"/>
    <xf numFmtId="164" fontId="4" fillId="4" borderId="1" xfId="0" applyNumberFormat="1" applyFont="1" applyFill="1" applyBorder="1"/>
    <xf numFmtId="0" fontId="11" fillId="0" borderId="0" xfId="0" applyFont="1"/>
    <xf numFmtId="164" fontId="12" fillId="0" borderId="0" xfId="0" applyNumberFormat="1" applyFont="1"/>
    <xf numFmtId="0" fontId="6" fillId="0" borderId="0" xfId="0" applyFont="1"/>
    <xf numFmtId="164" fontId="6" fillId="0" borderId="0" xfId="0" applyNumberFormat="1" applyFont="1"/>
    <xf numFmtId="164" fontId="4" fillId="0" borderId="10" xfId="0" applyNumberFormat="1" applyFont="1" applyBorder="1"/>
    <xf numFmtId="164" fontId="4" fillId="0" borderId="11" xfId="0" applyNumberFormat="1" applyFont="1" applyBorder="1"/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vertical="top" wrapText="1"/>
    </xf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" fillId="7" borderId="0" xfId="1" applyFill="1"/>
    <xf numFmtId="9" fontId="17" fillId="7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7" fillId="7" borderId="0" xfId="1" applyFont="1" applyFill="1" applyAlignment="1">
      <alignment horizontal="center"/>
    </xf>
    <xf numFmtId="0" fontId="1" fillId="7" borderId="0" xfId="1" applyFill="1" applyAlignment="1">
      <alignment horizontal="center" vertical="center"/>
    </xf>
    <xf numFmtId="0" fontId="1" fillId="7" borderId="0" xfId="1" applyFill="1" applyAlignment="1">
      <alignment horizontal="center"/>
    </xf>
    <xf numFmtId="0" fontId="21" fillId="7" borderId="0" xfId="1" applyFont="1" applyFill="1" applyAlignment="1">
      <alignment horizontal="center" vertical="center" wrapText="1"/>
    </xf>
    <xf numFmtId="0" fontId="20" fillId="7" borderId="0" xfId="1" applyFont="1" applyFill="1" applyAlignment="1">
      <alignment horizontal="center" vertical="center"/>
    </xf>
    <xf numFmtId="0" fontId="21" fillId="7" borderId="0" xfId="1" applyFont="1" applyFill="1" applyAlignment="1">
      <alignment horizontal="center" vertical="center"/>
    </xf>
    <xf numFmtId="0" fontId="19" fillId="7" borderId="0" xfId="1" applyFont="1" applyFill="1" applyAlignment="1">
      <alignment horizontal="center" vertical="center"/>
    </xf>
    <xf numFmtId="0" fontId="18" fillId="7" borderId="0" xfId="1" applyFont="1" applyFill="1" applyAlignment="1">
      <alignment horizontal="left" vertical="center"/>
    </xf>
    <xf numFmtId="0" fontId="1" fillId="7" borderId="0" xfId="1" applyFill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6" fillId="0" borderId="9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3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9EC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75623"/>
      <rgbColor rgb="FFA6192E"/>
      <rgbColor rgb="FF993366"/>
      <rgbColor rgb="FF555555"/>
      <rgbColor rgb="FF333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59872</xdr:colOff>
      <xdr:row>4</xdr:row>
      <xdr:rowOff>21771</xdr:rowOff>
    </xdr:from>
    <xdr:to>
      <xdr:col>8</xdr:col>
      <xdr:colOff>680358</xdr:colOff>
      <xdr:row>6</xdr:row>
      <xdr:rowOff>163286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18D719F-2430-94A0-AA9B-3FDCAD643DE2}"/>
            </a:ext>
          </a:extLst>
        </xdr:cNvPr>
        <xdr:cNvSpPr/>
      </xdr:nvSpPr>
      <xdr:spPr>
        <a:xfrm>
          <a:off x="5260522" y="745671"/>
          <a:ext cx="2354036" cy="50346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29145</xdr:colOff>
      <xdr:row>8</xdr:row>
      <xdr:rowOff>10243</xdr:rowOff>
    </xdr:from>
    <xdr:to>
      <xdr:col>8</xdr:col>
      <xdr:colOff>638745</xdr:colOff>
      <xdr:row>10</xdr:row>
      <xdr:rowOff>10243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8BE0B12F-2784-4522-8A0A-5198BBEF3E17}"/>
            </a:ext>
          </a:extLst>
        </xdr:cNvPr>
        <xdr:cNvSpPr/>
      </xdr:nvSpPr>
      <xdr:spPr>
        <a:xfrm>
          <a:off x="5252532" y="1567017"/>
          <a:ext cx="2350729" cy="389194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61451</xdr:colOff>
      <xdr:row>3</xdr:row>
      <xdr:rowOff>133146</xdr:rowOff>
    </xdr:from>
    <xdr:to>
      <xdr:col>5</xdr:col>
      <xdr:colOff>256048</xdr:colOff>
      <xdr:row>7</xdr:row>
      <xdr:rowOff>78325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263" b="39596"/>
        <a:stretch/>
      </xdr:blipFill>
      <xdr:spPr>
        <a:xfrm>
          <a:off x="932016" y="716936"/>
          <a:ext cx="3676855" cy="723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6"/>
  <sheetViews>
    <sheetView tabSelected="1" zoomScale="93" zoomScaleNormal="93" workbookViewId="0">
      <selection activeCell="E17" sqref="E17"/>
    </sheetView>
  </sheetViews>
  <sheetFormatPr defaultColWidth="13.046875" defaultRowHeight="15" x14ac:dyDescent="0.2"/>
  <cols>
    <col min="1" max="16384" width="13.046875" style="52"/>
  </cols>
  <sheetData>
    <row r="4" spans="1:9" x14ac:dyDescent="0.2">
      <c r="A4" s="58"/>
      <c r="B4" s="58"/>
      <c r="C4" s="58"/>
      <c r="D4" s="58"/>
      <c r="E4" s="58"/>
      <c r="F4" s="58"/>
      <c r="G4" s="59" t="s">
        <v>322</v>
      </c>
      <c r="H4" s="59"/>
      <c r="I4" s="59"/>
    </row>
    <row r="5" spans="1:9" x14ac:dyDescent="0.2">
      <c r="A5" s="58"/>
      <c r="B5" s="58"/>
      <c r="C5" s="58"/>
      <c r="D5" s="58"/>
      <c r="E5" s="58"/>
      <c r="F5" s="58"/>
      <c r="G5" s="59"/>
      <c r="H5" s="59"/>
      <c r="I5" s="59"/>
    </row>
    <row r="6" spans="1:9" x14ac:dyDescent="0.2">
      <c r="A6" s="58"/>
      <c r="B6" s="58"/>
      <c r="C6" s="58"/>
      <c r="D6" s="58"/>
      <c r="E6" s="58"/>
      <c r="F6" s="58"/>
      <c r="G6" s="59"/>
      <c r="H6" s="59"/>
      <c r="I6" s="59"/>
    </row>
    <row r="7" spans="1:9" x14ac:dyDescent="0.2">
      <c r="A7" s="58"/>
      <c r="B7" s="58"/>
      <c r="C7" s="58"/>
      <c r="D7" s="58"/>
      <c r="E7" s="58"/>
      <c r="F7" s="58"/>
      <c r="G7" s="59"/>
      <c r="H7" s="59"/>
      <c r="I7" s="59"/>
    </row>
    <row r="8" spans="1:9" x14ac:dyDescent="0.2">
      <c r="A8" s="58"/>
      <c r="B8" s="58"/>
      <c r="C8" s="58"/>
      <c r="D8" s="58"/>
      <c r="E8" s="58"/>
      <c r="F8" s="58"/>
      <c r="G8" s="59"/>
      <c r="H8" s="59"/>
      <c r="I8" s="59"/>
    </row>
    <row r="9" spans="1:9" x14ac:dyDescent="0.2">
      <c r="A9" s="60" t="s">
        <v>321</v>
      </c>
      <c r="B9" s="60"/>
      <c r="C9" s="60"/>
      <c r="D9" s="60"/>
      <c r="E9" s="60"/>
      <c r="F9" s="60"/>
      <c r="G9" s="61" t="s">
        <v>320</v>
      </c>
      <c r="H9" s="62"/>
      <c r="I9" s="62"/>
    </row>
    <row r="10" spans="1:9" x14ac:dyDescent="0.2">
      <c r="A10" s="60"/>
      <c r="B10" s="60"/>
      <c r="C10" s="60"/>
      <c r="D10" s="60"/>
      <c r="E10" s="60"/>
      <c r="F10" s="60"/>
      <c r="G10" s="62"/>
      <c r="H10" s="62"/>
      <c r="I10" s="62"/>
    </row>
    <row r="11" spans="1:9" x14ac:dyDescent="0.2">
      <c r="A11" s="63" t="s">
        <v>319</v>
      </c>
      <c r="B11" s="64"/>
      <c r="C11" s="64"/>
      <c r="D11" s="64"/>
      <c r="E11" s="64"/>
      <c r="F11" s="64"/>
      <c r="G11" s="64"/>
      <c r="H11" s="64"/>
      <c r="I11" s="64"/>
    </row>
    <row r="12" spans="1:9" x14ac:dyDescent="0.2">
      <c r="A12" s="64"/>
      <c r="B12" s="64"/>
      <c r="C12" s="64"/>
      <c r="D12" s="64"/>
      <c r="E12" s="64"/>
      <c r="F12" s="64"/>
      <c r="G12" s="64"/>
      <c r="H12" s="64"/>
      <c r="I12" s="64"/>
    </row>
    <row r="13" spans="1:9" x14ac:dyDescent="0.2">
      <c r="A13" s="56" t="s">
        <v>318</v>
      </c>
      <c r="B13" s="56"/>
      <c r="C13" s="56"/>
      <c r="D13" s="56"/>
      <c r="E13" s="56"/>
      <c r="F13" s="56"/>
      <c r="G13" s="56"/>
      <c r="H13" s="56"/>
    </row>
    <row r="14" spans="1:9" x14ac:dyDescent="0.2">
      <c r="A14" s="57" t="s">
        <v>317</v>
      </c>
      <c r="B14" s="57"/>
      <c r="C14" s="57"/>
      <c r="D14" s="57"/>
      <c r="E14" s="57"/>
      <c r="F14" s="57"/>
      <c r="G14" s="57"/>
      <c r="H14" s="53">
        <v>1</v>
      </c>
    </row>
    <row r="15" spans="1:9" x14ac:dyDescent="0.2">
      <c r="A15" s="57" t="s">
        <v>316</v>
      </c>
      <c r="B15" s="57"/>
      <c r="C15" s="57"/>
      <c r="D15" s="57"/>
      <c r="E15" s="57"/>
      <c r="F15" s="57"/>
      <c r="G15" s="57"/>
      <c r="H15" s="53">
        <v>1</v>
      </c>
    </row>
    <row r="16" spans="1:9" x14ac:dyDescent="0.2">
      <c r="A16" s="57" t="s">
        <v>315</v>
      </c>
      <c r="B16" s="57"/>
      <c r="C16" s="57"/>
      <c r="D16" s="57"/>
      <c r="E16" s="57"/>
      <c r="F16" s="57"/>
      <c r="G16" s="57"/>
      <c r="H16" s="53">
        <v>1</v>
      </c>
    </row>
  </sheetData>
  <mergeCells count="9">
    <mergeCell ref="A13:H13"/>
    <mergeCell ref="A16:G16"/>
    <mergeCell ref="A14:G14"/>
    <mergeCell ref="A15:G15"/>
    <mergeCell ref="A4:F8"/>
    <mergeCell ref="G4:I8"/>
    <mergeCell ref="A9:F10"/>
    <mergeCell ref="G9:I10"/>
    <mergeCell ref="A11:I12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3"/>
  <sheetViews>
    <sheetView showGridLines="0" zoomScale="51" zoomScaleNormal="51" workbookViewId="0">
      <selection activeCell="E9" sqref="E9"/>
    </sheetView>
  </sheetViews>
  <sheetFormatPr defaultColWidth="8.7421875" defaultRowHeight="15" x14ac:dyDescent="0.2"/>
  <cols>
    <col min="1" max="1" width="46.00390625" customWidth="1"/>
    <col min="2" max="2" width="16.0078125" customWidth="1"/>
    <col min="3" max="3" width="13.98828125" customWidth="1"/>
    <col min="4" max="4" width="46.00390625" customWidth="1"/>
    <col min="5" max="5" width="53.94140625" customWidth="1"/>
    <col min="6" max="6" width="16.0078125" customWidth="1"/>
    <col min="7" max="7" width="34.03125" customWidth="1"/>
  </cols>
  <sheetData>
    <row r="1" spans="1:4" ht="18" customHeight="1" x14ac:dyDescent="0.2">
      <c r="A1" s="55" t="s">
        <v>0</v>
      </c>
      <c r="B1" s="55"/>
      <c r="C1" s="55"/>
      <c r="D1" s="55"/>
    </row>
    <row r="2" spans="1:4" ht="15" customHeight="1" x14ac:dyDescent="0.2">
      <c r="A2" s="55"/>
      <c r="B2" s="55"/>
      <c r="C2" s="55"/>
      <c r="D2" s="55"/>
    </row>
    <row r="3" spans="1:4" x14ac:dyDescent="0.2">
      <c r="A3" s="54" t="s">
        <v>312</v>
      </c>
      <c r="B3" s="54"/>
      <c r="C3" s="54"/>
      <c r="D3" s="54"/>
    </row>
    <row r="5" spans="1:4" x14ac:dyDescent="0.2">
      <c r="A5" s="2" t="s">
        <v>1</v>
      </c>
      <c r="B5" s="3"/>
      <c r="C5" s="3"/>
      <c r="D5" s="3"/>
    </row>
    <row r="6" spans="1:4" x14ac:dyDescent="0.2">
      <c r="A6" s="4" t="s">
        <v>2</v>
      </c>
      <c r="B6" s="4" t="s">
        <v>3</v>
      </c>
      <c r="C6" s="4" t="s">
        <v>4</v>
      </c>
      <c r="D6" s="4" t="s">
        <v>5</v>
      </c>
    </row>
    <row r="7" spans="1:4" ht="24.75" x14ac:dyDescent="0.2">
      <c r="A7" s="5" t="s">
        <v>6</v>
      </c>
      <c r="B7" s="6">
        <v>0.18</v>
      </c>
      <c r="C7" s="7" t="s">
        <v>7</v>
      </c>
      <c r="D7" s="8" t="s">
        <v>8</v>
      </c>
    </row>
    <row r="8" spans="1:4" x14ac:dyDescent="0.2">
      <c r="A8" s="5" t="s">
        <v>9</v>
      </c>
      <c r="B8" s="9">
        <v>50000</v>
      </c>
      <c r="C8" s="7" t="s">
        <v>10</v>
      </c>
      <c r="D8" s="8" t="s">
        <v>11</v>
      </c>
    </row>
    <row r="9" spans="1:4" x14ac:dyDescent="0.2">
      <c r="A9" s="5" t="s">
        <v>12</v>
      </c>
      <c r="B9" s="9">
        <v>12000</v>
      </c>
      <c r="C9" s="7" t="s">
        <v>10</v>
      </c>
      <c r="D9" s="8" t="s">
        <v>13</v>
      </c>
    </row>
    <row r="10" spans="1:4" x14ac:dyDescent="0.2">
      <c r="A10" s="5" t="s">
        <v>14</v>
      </c>
      <c r="B10" s="9">
        <v>2000</v>
      </c>
      <c r="C10" s="7" t="s">
        <v>10</v>
      </c>
      <c r="D10" s="8" t="s">
        <v>15</v>
      </c>
    </row>
    <row r="11" spans="1:4" x14ac:dyDescent="0.2">
      <c r="A11" s="5" t="s">
        <v>16</v>
      </c>
      <c r="B11" s="10">
        <v>3</v>
      </c>
      <c r="C11" s="7" t="s">
        <v>17</v>
      </c>
      <c r="D11" s="8" t="s">
        <v>18</v>
      </c>
    </row>
    <row r="12" spans="1:4" x14ac:dyDescent="0.2">
      <c r="A12" s="5" t="s">
        <v>19</v>
      </c>
      <c r="B12" s="10">
        <v>100</v>
      </c>
      <c r="C12" s="7" t="s">
        <v>20</v>
      </c>
      <c r="D12" s="8" t="s">
        <v>21</v>
      </c>
    </row>
    <row r="13" spans="1:4" x14ac:dyDescent="0.2">
      <c r="A13" s="5" t="s">
        <v>22</v>
      </c>
      <c r="B13" s="9">
        <v>200</v>
      </c>
      <c r="C13" s="7" t="s">
        <v>10</v>
      </c>
      <c r="D13" s="8" t="s">
        <v>23</v>
      </c>
    </row>
    <row r="14" spans="1:4" x14ac:dyDescent="0.2">
      <c r="A14" s="5" t="s">
        <v>24</v>
      </c>
      <c r="B14" s="6">
        <v>0.6</v>
      </c>
      <c r="C14" s="7" t="s">
        <v>7</v>
      </c>
      <c r="D14" s="8" t="s">
        <v>25</v>
      </c>
    </row>
    <row r="15" spans="1:4" ht="24.75" x14ac:dyDescent="0.2">
      <c r="A15" s="5" t="s">
        <v>26</v>
      </c>
      <c r="B15" s="9">
        <v>400</v>
      </c>
      <c r="C15" s="7" t="s">
        <v>10</v>
      </c>
      <c r="D15" s="8" t="s">
        <v>27</v>
      </c>
    </row>
    <row r="16" spans="1:4" x14ac:dyDescent="0.2">
      <c r="A16" s="5" t="s">
        <v>28</v>
      </c>
      <c r="B16" s="6">
        <v>0.5</v>
      </c>
      <c r="C16" s="7" t="s">
        <v>7</v>
      </c>
      <c r="D16" s="8" t="s">
        <v>29</v>
      </c>
    </row>
    <row r="17" spans="1:4" x14ac:dyDescent="0.2">
      <c r="A17" s="5" t="s">
        <v>30</v>
      </c>
      <c r="B17" s="10">
        <v>5</v>
      </c>
      <c r="C17" s="7" t="s">
        <v>20</v>
      </c>
      <c r="D17" s="8" t="s">
        <v>31</v>
      </c>
    </row>
    <row r="18" spans="1:4" x14ac:dyDescent="0.2">
      <c r="A18" s="5" t="s">
        <v>32</v>
      </c>
      <c r="B18" s="9">
        <v>1000</v>
      </c>
      <c r="C18" s="7" t="s">
        <v>10</v>
      </c>
      <c r="D18" s="8" t="s">
        <v>31</v>
      </c>
    </row>
    <row r="19" spans="1:4" x14ac:dyDescent="0.2">
      <c r="A19" s="5" t="s">
        <v>33</v>
      </c>
      <c r="B19" s="10">
        <v>4</v>
      </c>
      <c r="C19" s="7" t="s">
        <v>34</v>
      </c>
      <c r="D19" s="8" t="s">
        <v>35</v>
      </c>
    </row>
    <row r="21" spans="1:4" x14ac:dyDescent="0.2">
      <c r="A21" s="2" t="s">
        <v>36</v>
      </c>
      <c r="B21" s="3"/>
      <c r="C21" s="3"/>
      <c r="D21" s="3"/>
    </row>
    <row r="22" spans="1:4" x14ac:dyDescent="0.2">
      <c r="A22" s="4" t="s">
        <v>2</v>
      </c>
      <c r="B22" s="4" t="s">
        <v>37</v>
      </c>
      <c r="C22" s="4" t="s">
        <v>4</v>
      </c>
      <c r="D22" s="4" t="s">
        <v>38</v>
      </c>
    </row>
    <row r="23" spans="1:4" x14ac:dyDescent="0.2">
      <c r="A23" s="5" t="s">
        <v>39</v>
      </c>
      <c r="B23" s="11">
        <f>$B$8+$B$9</f>
        <v>62000</v>
      </c>
      <c r="C23" s="7" t="s">
        <v>10</v>
      </c>
      <c r="D23" s="8" t="s">
        <v>40</v>
      </c>
    </row>
    <row r="24" spans="1:4" x14ac:dyDescent="0.2">
      <c r="A24" s="5" t="s">
        <v>41</v>
      </c>
      <c r="B24" s="11">
        <f>$B$10*$B$11</f>
        <v>6000</v>
      </c>
      <c r="C24" s="7" t="s">
        <v>10</v>
      </c>
      <c r="D24" s="8" t="s">
        <v>42</v>
      </c>
    </row>
    <row r="25" spans="1:4" x14ac:dyDescent="0.2">
      <c r="A25" s="5" t="s">
        <v>43</v>
      </c>
      <c r="B25" s="11">
        <f>$B$24*$B$7</f>
        <v>1080</v>
      </c>
      <c r="C25" s="7" t="s">
        <v>10</v>
      </c>
      <c r="D25" s="8" t="s">
        <v>44</v>
      </c>
    </row>
    <row r="26" spans="1:4" x14ac:dyDescent="0.2">
      <c r="A26" s="5" t="s">
        <v>45</v>
      </c>
      <c r="B26" s="11">
        <f>$B$24+$B$25</f>
        <v>7080</v>
      </c>
      <c r="C26" s="7" t="s">
        <v>10</v>
      </c>
      <c r="D26" s="8" t="s">
        <v>46</v>
      </c>
    </row>
    <row r="27" spans="1:4" x14ac:dyDescent="0.2">
      <c r="A27" s="5" t="s">
        <v>47</v>
      </c>
      <c r="B27" s="11">
        <f>$B$12*$B$13</f>
        <v>20000</v>
      </c>
      <c r="C27" s="7" t="s">
        <v>10</v>
      </c>
      <c r="D27" s="8" t="s">
        <v>48</v>
      </c>
    </row>
    <row r="28" spans="1:4" x14ac:dyDescent="0.2">
      <c r="A28" s="5" t="s">
        <v>49</v>
      </c>
      <c r="B28" s="11">
        <f>$B$27*$B$7</f>
        <v>3600</v>
      </c>
      <c r="C28" s="7" t="s">
        <v>10</v>
      </c>
      <c r="D28" s="8" t="s">
        <v>50</v>
      </c>
    </row>
    <row r="29" spans="1:4" x14ac:dyDescent="0.2">
      <c r="A29" s="5" t="s">
        <v>51</v>
      </c>
      <c r="B29" s="11">
        <f>$B$27+$B$28</f>
        <v>23600</v>
      </c>
      <c r="C29" s="7" t="s">
        <v>10</v>
      </c>
      <c r="D29" s="8" t="s">
        <v>52</v>
      </c>
    </row>
    <row r="30" spans="1:4" x14ac:dyDescent="0.2">
      <c r="A30" s="5" t="s">
        <v>53</v>
      </c>
      <c r="B30" s="12">
        <f>$B$12*$B$14</f>
        <v>60</v>
      </c>
      <c r="C30" s="7" t="s">
        <v>20</v>
      </c>
      <c r="D30" s="8" t="s">
        <v>54</v>
      </c>
    </row>
    <row r="31" spans="1:4" x14ac:dyDescent="0.2">
      <c r="A31" s="5" t="s">
        <v>55</v>
      </c>
      <c r="B31" s="11">
        <f>$B$30*$B$15</f>
        <v>24000</v>
      </c>
      <c r="C31" s="7" t="s">
        <v>10</v>
      </c>
      <c r="D31" s="8" t="s">
        <v>56</v>
      </c>
    </row>
    <row r="32" spans="1:4" x14ac:dyDescent="0.2">
      <c r="A32" s="5" t="s">
        <v>57</v>
      </c>
      <c r="B32" s="11">
        <f>$B$31*$B$7</f>
        <v>4320</v>
      </c>
      <c r="C32" s="7" t="s">
        <v>10</v>
      </c>
      <c r="D32" s="8" t="s">
        <v>44</v>
      </c>
    </row>
    <row r="33" spans="1:7" x14ac:dyDescent="0.2">
      <c r="A33" s="5" t="s">
        <v>58</v>
      </c>
      <c r="B33" s="11">
        <f>$B$31+$B$32</f>
        <v>28320</v>
      </c>
      <c r="C33" s="7" t="s">
        <v>10</v>
      </c>
      <c r="D33" s="8" t="s">
        <v>52</v>
      </c>
    </row>
    <row r="34" spans="1:7" x14ac:dyDescent="0.2">
      <c r="A34" s="5" t="s">
        <v>59</v>
      </c>
      <c r="B34" s="11">
        <f>$B$33*$B$16</f>
        <v>14160</v>
      </c>
      <c r="C34" s="7" t="s">
        <v>10</v>
      </c>
      <c r="D34" s="8" t="s">
        <v>60</v>
      </c>
    </row>
    <row r="35" spans="1:7" x14ac:dyDescent="0.2">
      <c r="A35" s="5" t="s">
        <v>61</v>
      </c>
      <c r="B35" s="11">
        <f>$B$33-$B$34</f>
        <v>14160</v>
      </c>
      <c r="C35" s="7" t="s">
        <v>10</v>
      </c>
      <c r="D35" s="8" t="s">
        <v>62</v>
      </c>
    </row>
    <row r="36" spans="1:7" x14ac:dyDescent="0.2">
      <c r="A36" s="5" t="s">
        <v>63</v>
      </c>
      <c r="B36" s="11">
        <f>$B$30*$B$13</f>
        <v>12000</v>
      </c>
      <c r="C36" s="7" t="s">
        <v>10</v>
      </c>
      <c r="D36" s="8" t="s">
        <v>64</v>
      </c>
    </row>
    <row r="37" spans="1:7" x14ac:dyDescent="0.2">
      <c r="A37" s="5" t="s">
        <v>65</v>
      </c>
      <c r="B37" s="12">
        <f>$B$12-$B$30</f>
        <v>40</v>
      </c>
      <c r="C37" s="7" t="s">
        <v>20</v>
      </c>
      <c r="D37" s="8" t="s">
        <v>66</v>
      </c>
    </row>
    <row r="38" spans="1:7" x14ac:dyDescent="0.2">
      <c r="A38" s="5" t="s">
        <v>67</v>
      </c>
      <c r="B38" s="11">
        <f>$B$37*$B$13</f>
        <v>8000</v>
      </c>
      <c r="C38" s="7" t="s">
        <v>10</v>
      </c>
      <c r="D38" s="8" t="s">
        <v>68</v>
      </c>
    </row>
    <row r="39" spans="1:7" x14ac:dyDescent="0.2">
      <c r="A39" s="5" t="s">
        <v>69</v>
      </c>
      <c r="B39" s="11">
        <f>$B$10</f>
        <v>2000</v>
      </c>
      <c r="C39" s="7" t="s">
        <v>10</v>
      </c>
      <c r="D39" s="8" t="s">
        <v>70</v>
      </c>
    </row>
    <row r="40" spans="1:7" x14ac:dyDescent="0.2">
      <c r="A40" s="5" t="s">
        <v>71</v>
      </c>
      <c r="B40" s="11">
        <f>$B$9/$B$19</f>
        <v>3000</v>
      </c>
      <c r="C40" s="7" t="s">
        <v>10</v>
      </c>
      <c r="D40" s="8" t="s">
        <v>72</v>
      </c>
    </row>
    <row r="41" spans="1:7" x14ac:dyDescent="0.2">
      <c r="A41" s="5" t="s">
        <v>73</v>
      </c>
      <c r="B41" s="11">
        <f>$B$40/12</f>
        <v>250</v>
      </c>
      <c r="C41" s="7" t="s">
        <v>10</v>
      </c>
      <c r="D41" s="8" t="s">
        <v>74</v>
      </c>
    </row>
    <row r="42" spans="1:7" x14ac:dyDescent="0.2">
      <c r="A42" s="5" t="s">
        <v>75</v>
      </c>
      <c r="B42" s="11">
        <f>$B$25+$B$28-$B$32</f>
        <v>360</v>
      </c>
      <c r="C42" s="7" t="s">
        <v>10</v>
      </c>
      <c r="D42" s="8" t="s">
        <v>76</v>
      </c>
    </row>
    <row r="43" spans="1:7" x14ac:dyDescent="0.2">
      <c r="A43" s="5" t="s">
        <v>77</v>
      </c>
      <c r="B43" s="11">
        <f>$B$17*$B$13</f>
        <v>1000</v>
      </c>
      <c r="C43" s="7" t="s">
        <v>10</v>
      </c>
      <c r="D43" s="8" t="s">
        <v>78</v>
      </c>
    </row>
    <row r="45" spans="1:7" x14ac:dyDescent="0.2">
      <c r="A45" s="2" t="s">
        <v>79</v>
      </c>
      <c r="B45" s="3"/>
      <c r="C45" s="3"/>
      <c r="D45" s="3"/>
      <c r="E45" s="3"/>
      <c r="F45" s="3"/>
      <c r="G45" s="3"/>
    </row>
    <row r="46" spans="1:7" x14ac:dyDescent="0.2">
      <c r="A46" s="4" t="s">
        <v>80</v>
      </c>
      <c r="B46" s="4" t="s">
        <v>81</v>
      </c>
      <c r="C46" s="4" t="s">
        <v>82</v>
      </c>
      <c r="D46" s="4" t="s">
        <v>83</v>
      </c>
      <c r="E46" s="4" t="s">
        <v>38</v>
      </c>
      <c r="F46" s="4" t="s">
        <v>84</v>
      </c>
      <c r="G46" s="4" t="s">
        <v>85</v>
      </c>
    </row>
    <row r="47" spans="1:7" ht="67.5" customHeight="1" x14ac:dyDescent="0.2">
      <c r="A47" s="13" t="s">
        <v>86</v>
      </c>
      <c r="B47" s="14" t="s">
        <v>87</v>
      </c>
      <c r="C47" s="14">
        <v>1</v>
      </c>
      <c r="D47" s="8" t="s">
        <v>88</v>
      </c>
      <c r="E47" s="8" t="s">
        <v>89</v>
      </c>
      <c r="F47" s="15">
        <f>$B$23</f>
        <v>62000</v>
      </c>
      <c r="G47" s="8" t="s">
        <v>90</v>
      </c>
    </row>
    <row r="48" spans="1:7" ht="67.5" customHeight="1" x14ac:dyDescent="0.2">
      <c r="A48" s="13" t="s">
        <v>91</v>
      </c>
      <c r="B48" s="14" t="s">
        <v>92</v>
      </c>
      <c r="C48" s="14">
        <v>2</v>
      </c>
      <c r="D48" s="8" t="s">
        <v>93</v>
      </c>
      <c r="E48" s="8" t="s">
        <v>94</v>
      </c>
      <c r="F48" s="15">
        <f>$B$26</f>
        <v>7080</v>
      </c>
      <c r="G48" s="8" t="s">
        <v>95</v>
      </c>
    </row>
    <row r="49" spans="1:7" ht="67.5" customHeight="1" x14ac:dyDescent="0.2">
      <c r="A49" s="13" t="s">
        <v>96</v>
      </c>
      <c r="B49" s="14" t="s">
        <v>97</v>
      </c>
      <c r="C49" s="14">
        <v>3</v>
      </c>
      <c r="D49" s="8" t="s">
        <v>98</v>
      </c>
      <c r="E49" s="8" t="s">
        <v>99</v>
      </c>
      <c r="F49" s="15">
        <f>$B$29</f>
        <v>23600</v>
      </c>
      <c r="G49" s="8" t="s">
        <v>100</v>
      </c>
    </row>
    <row r="50" spans="1:7" ht="67.5" customHeight="1" x14ac:dyDescent="0.2">
      <c r="A50" s="13" t="s">
        <v>101</v>
      </c>
      <c r="B50" s="14" t="s">
        <v>102</v>
      </c>
      <c r="C50" s="14">
        <v>4</v>
      </c>
      <c r="D50" s="8" t="s">
        <v>103</v>
      </c>
      <c r="E50" s="8" t="s">
        <v>104</v>
      </c>
      <c r="F50" s="15">
        <f>$B$33</f>
        <v>28320</v>
      </c>
      <c r="G50" s="8" t="s">
        <v>105</v>
      </c>
    </row>
    <row r="51" spans="1:7" ht="67.5" customHeight="1" x14ac:dyDescent="0.2">
      <c r="A51" s="13" t="s">
        <v>106</v>
      </c>
      <c r="B51" s="14" t="s">
        <v>107</v>
      </c>
      <c r="C51" s="14">
        <v>5</v>
      </c>
      <c r="D51" s="8" t="s">
        <v>108</v>
      </c>
      <c r="E51" s="8" t="s">
        <v>109</v>
      </c>
      <c r="F51" s="15">
        <f>$B$39</f>
        <v>2000</v>
      </c>
      <c r="G51" s="8" t="s">
        <v>110</v>
      </c>
    </row>
    <row r="52" spans="1:7" ht="67.5" customHeight="1" x14ac:dyDescent="0.2">
      <c r="A52" s="13" t="s">
        <v>111</v>
      </c>
      <c r="B52" s="14" t="s">
        <v>107</v>
      </c>
      <c r="C52" s="14">
        <v>6</v>
      </c>
      <c r="D52" s="8" t="s">
        <v>112</v>
      </c>
      <c r="E52" s="8" t="s">
        <v>113</v>
      </c>
      <c r="F52" s="15">
        <f>$B$18</f>
        <v>1000</v>
      </c>
      <c r="G52" s="8" t="s">
        <v>114</v>
      </c>
    </row>
    <row r="53" spans="1:7" ht="67.5" customHeight="1" x14ac:dyDescent="0.2">
      <c r="A53" s="13" t="s">
        <v>115</v>
      </c>
      <c r="B53" s="14" t="s">
        <v>107</v>
      </c>
      <c r="C53" s="14">
        <v>7</v>
      </c>
      <c r="D53" s="8" t="s">
        <v>116</v>
      </c>
      <c r="E53" s="8" t="s">
        <v>117</v>
      </c>
      <c r="F53" s="15">
        <f>$B$41</f>
        <v>250</v>
      </c>
      <c r="G53" s="8" t="s">
        <v>118</v>
      </c>
    </row>
  </sheetData>
  <mergeCells count="2">
    <mergeCell ref="A3:D3"/>
    <mergeCell ref="A1:D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6"/>
  <sheetViews>
    <sheetView showGridLines="0" topLeftCell="A31" zoomScale="85" zoomScaleNormal="85" workbookViewId="0">
      <selection sqref="A1:N2"/>
    </sheetView>
  </sheetViews>
  <sheetFormatPr defaultColWidth="8.7421875" defaultRowHeight="15" x14ac:dyDescent="0.2"/>
  <cols>
    <col min="1" max="1" width="10.76171875" customWidth="1"/>
    <col min="2" max="2" width="14.9296875" customWidth="1"/>
    <col min="3" max="3" width="10.76171875" customWidth="1"/>
    <col min="4" max="4" width="14.9296875" customWidth="1"/>
    <col min="5" max="5" width="2.95703125" customWidth="1"/>
    <col min="6" max="6" width="10.76171875" customWidth="1"/>
    <col min="7" max="7" width="14.9296875" customWidth="1"/>
    <col min="8" max="8" width="10.76171875" customWidth="1"/>
    <col min="9" max="9" width="14.9296875" customWidth="1"/>
    <col min="10" max="10" width="2.95703125" customWidth="1"/>
    <col min="11" max="11" width="10.76171875" customWidth="1"/>
    <col min="12" max="12" width="14.9296875" customWidth="1"/>
    <col min="13" max="13" width="10.76171875" customWidth="1"/>
    <col min="14" max="14" width="14.9296875" customWidth="1"/>
    <col min="15" max="15" width="2.95703125" customWidth="1"/>
  </cols>
  <sheetData>
    <row r="1" spans="1:14" ht="18" customHeight="1" x14ac:dyDescent="0.2">
      <c r="A1" s="69" t="s">
        <v>314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x14ac:dyDescent="0.2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4" spans="1:14" ht="42" customHeight="1" x14ac:dyDescent="0.2">
      <c r="A4" s="65" t="s">
        <v>119</v>
      </c>
      <c r="B4" s="65"/>
      <c r="C4" s="65"/>
      <c r="D4" s="65"/>
      <c r="F4" s="65" t="s">
        <v>120</v>
      </c>
      <c r="G4" s="65"/>
      <c r="H4" s="65"/>
      <c r="I4" s="65"/>
      <c r="K4" s="65" t="s">
        <v>121</v>
      </c>
      <c r="L4" s="65"/>
      <c r="M4" s="65"/>
      <c r="N4" s="65"/>
    </row>
    <row r="5" spans="1:14" ht="15.75" thickBot="1" x14ac:dyDescent="0.25">
      <c r="A5" s="66" t="s">
        <v>122</v>
      </c>
      <c r="B5" s="67"/>
      <c r="C5" s="68" t="s">
        <v>123</v>
      </c>
      <c r="D5" s="66"/>
      <c r="F5" s="66" t="s">
        <v>122</v>
      </c>
      <c r="G5" s="67"/>
      <c r="H5" s="68" t="s">
        <v>123</v>
      </c>
      <c r="I5" s="66"/>
      <c r="K5" s="66" t="s">
        <v>122</v>
      </c>
      <c r="L5" s="67"/>
      <c r="M5" s="68" t="s">
        <v>123</v>
      </c>
      <c r="N5" s="66"/>
    </row>
    <row r="6" spans="1:14" x14ac:dyDescent="0.2">
      <c r="A6" s="16"/>
      <c r="B6" s="17">
        <f>'Diario Simplificado'!$C$11</f>
        <v>50000</v>
      </c>
      <c r="C6" s="18"/>
      <c r="D6" s="19">
        <f>-'Diario Simplificado'!$C$12</f>
        <v>7080</v>
      </c>
      <c r="F6" s="16"/>
      <c r="G6" s="17">
        <f>'Diario Simplificado'!$D$14</f>
        <v>14160</v>
      </c>
      <c r="H6" s="20"/>
      <c r="I6" s="21"/>
      <c r="K6" s="16"/>
      <c r="L6" s="17">
        <f>'Diario Simplificado'!$F$13</f>
        <v>20000</v>
      </c>
      <c r="M6" s="18"/>
      <c r="N6" s="19">
        <f>-'Diario Simplificado'!$F$14</f>
        <v>12000</v>
      </c>
    </row>
    <row r="7" spans="1:14" x14ac:dyDescent="0.2">
      <c r="A7" s="16"/>
      <c r="B7" s="17">
        <f>'Diario Simplificado'!$C$14</f>
        <v>14160</v>
      </c>
      <c r="C7" s="20"/>
      <c r="D7" s="21"/>
      <c r="G7" s="22"/>
      <c r="H7" s="20"/>
      <c r="I7" s="21"/>
      <c r="L7" s="22"/>
      <c r="M7" s="20"/>
      <c r="N7" s="21"/>
    </row>
    <row r="8" spans="1:14" x14ac:dyDescent="0.2">
      <c r="B8" s="22"/>
      <c r="C8" s="20"/>
      <c r="D8" s="21"/>
      <c r="G8" s="22"/>
      <c r="H8" s="20"/>
      <c r="I8" s="21"/>
      <c r="L8" s="22"/>
      <c r="M8" s="20"/>
      <c r="N8" s="21"/>
    </row>
    <row r="9" spans="1:14" x14ac:dyDescent="0.2">
      <c r="A9" s="23" t="s">
        <v>124</v>
      </c>
      <c r="B9" s="24">
        <f>SUM(B6:B8)</f>
        <v>64160</v>
      </c>
      <c r="C9" s="25"/>
      <c r="D9" s="26">
        <f>SUM(D6:D8)</f>
        <v>7080</v>
      </c>
      <c r="F9" s="23" t="s">
        <v>124</v>
      </c>
      <c r="G9" s="24">
        <f>SUM(G6:G8)</f>
        <v>14160</v>
      </c>
      <c r="H9" s="25"/>
      <c r="I9" s="26">
        <f>SUM(I6:I8)</f>
        <v>0</v>
      </c>
      <c r="K9" s="23" t="s">
        <v>124</v>
      </c>
      <c r="L9" s="24">
        <f>SUM(L6:L8)</f>
        <v>20000</v>
      </c>
      <c r="M9" s="25"/>
      <c r="N9" s="26">
        <f>SUM(N6:N8)</f>
        <v>12000</v>
      </c>
    </row>
    <row r="10" spans="1:14" x14ac:dyDescent="0.2">
      <c r="A10" s="51" t="s">
        <v>125</v>
      </c>
      <c r="B10" s="28">
        <f>MAX(B9-D9,0)</f>
        <v>57080</v>
      </c>
      <c r="C10" s="51" t="s">
        <v>126</v>
      </c>
      <c r="D10" s="28">
        <f>MAX(D9-B9,0)</f>
        <v>0</v>
      </c>
      <c r="F10" s="51" t="s">
        <v>125</v>
      </c>
      <c r="G10" s="28">
        <f>MAX(G9-I9,0)</f>
        <v>14160</v>
      </c>
      <c r="H10" s="51" t="s">
        <v>126</v>
      </c>
      <c r="I10" s="28">
        <f>MAX(I9-G9,0)</f>
        <v>0</v>
      </c>
      <c r="K10" s="51" t="s">
        <v>125</v>
      </c>
      <c r="L10" s="28">
        <f>MAX(L9-N9,0)</f>
        <v>8000</v>
      </c>
      <c r="M10" s="51" t="s">
        <v>126</v>
      </c>
      <c r="N10" s="28">
        <f>MAX(N9-L9,0)</f>
        <v>0</v>
      </c>
    </row>
    <row r="13" spans="1:14" ht="42" customHeight="1" x14ac:dyDescent="0.2">
      <c r="A13" s="65" t="s">
        <v>127</v>
      </c>
      <c r="B13" s="65"/>
      <c r="C13" s="65"/>
      <c r="D13" s="65"/>
      <c r="F13" s="65" t="s">
        <v>128</v>
      </c>
      <c r="G13" s="65"/>
      <c r="H13" s="65"/>
      <c r="I13" s="65"/>
      <c r="K13" s="65" t="s">
        <v>129</v>
      </c>
      <c r="L13" s="65"/>
      <c r="M13" s="65"/>
      <c r="N13" s="65"/>
    </row>
    <row r="14" spans="1:14" ht="15.75" thickBot="1" x14ac:dyDescent="0.25">
      <c r="A14" s="66" t="s">
        <v>122</v>
      </c>
      <c r="B14" s="67"/>
      <c r="C14" s="68" t="s">
        <v>123</v>
      </c>
      <c r="D14" s="66"/>
      <c r="F14" s="66" t="s">
        <v>122</v>
      </c>
      <c r="G14" s="67"/>
      <c r="H14" s="68" t="s">
        <v>123</v>
      </c>
      <c r="I14" s="66"/>
      <c r="K14" s="66" t="s">
        <v>122</v>
      </c>
      <c r="L14" s="67"/>
      <c r="M14" s="68" t="s">
        <v>123</v>
      </c>
      <c r="N14" s="66"/>
    </row>
    <row r="15" spans="1:14" x14ac:dyDescent="0.2">
      <c r="B15" s="22"/>
      <c r="C15" s="18"/>
      <c r="D15" s="19">
        <f>-'Diario Simplificado'!$G$16</f>
        <v>1000</v>
      </c>
      <c r="F15" s="16"/>
      <c r="G15" s="17">
        <f>'Diario Simplificado'!$J$12</f>
        <v>1080</v>
      </c>
      <c r="H15" s="18"/>
      <c r="I15" s="19">
        <f>-'Diario Simplificado'!$K$14</f>
        <v>4320</v>
      </c>
      <c r="K15" s="16"/>
      <c r="L15" s="17">
        <f>'Diario Simplificado'!$E$12</f>
        <v>6000</v>
      </c>
      <c r="M15" s="18"/>
      <c r="N15" s="19">
        <f>-'Diario Simplificado'!$E$15</f>
        <v>2000</v>
      </c>
    </row>
    <row r="16" spans="1:14" x14ac:dyDescent="0.2">
      <c r="B16" s="22"/>
      <c r="C16" s="20"/>
      <c r="D16" s="21"/>
      <c r="F16" s="16"/>
      <c r="G16" s="17">
        <f>'Diario Simplificado'!$J$13</f>
        <v>3600</v>
      </c>
      <c r="H16" s="20"/>
      <c r="I16" s="21"/>
      <c r="L16" s="22"/>
      <c r="M16" s="20"/>
      <c r="N16" s="21"/>
    </row>
    <row r="17" spans="1:14" x14ac:dyDescent="0.2">
      <c r="B17" s="22"/>
      <c r="C17" s="20"/>
      <c r="D17" s="21"/>
      <c r="G17" s="22"/>
      <c r="H17" s="20"/>
      <c r="I17" s="21"/>
      <c r="L17" s="22"/>
      <c r="M17" s="20"/>
      <c r="N17" s="21"/>
    </row>
    <row r="18" spans="1:14" x14ac:dyDescent="0.2">
      <c r="A18" s="23" t="s">
        <v>124</v>
      </c>
      <c r="B18" s="24">
        <f>SUM(B15:B17)</f>
        <v>0</v>
      </c>
      <c r="C18" s="25"/>
      <c r="D18" s="26">
        <f>SUM(D15:D17)</f>
        <v>1000</v>
      </c>
      <c r="F18" s="23" t="s">
        <v>124</v>
      </c>
      <c r="G18" s="24">
        <f>SUM(G15:G17)</f>
        <v>4680</v>
      </c>
      <c r="H18" s="25"/>
      <c r="I18" s="26">
        <f>SUM(I15:I17)</f>
        <v>4320</v>
      </c>
      <c r="K18" s="23" t="s">
        <v>124</v>
      </c>
      <c r="L18" s="24">
        <f>SUM(L15:L17)</f>
        <v>6000</v>
      </c>
      <c r="M18" s="25"/>
      <c r="N18" s="26">
        <f>SUM(N15:N17)</f>
        <v>2000</v>
      </c>
    </row>
    <row r="19" spans="1:14" x14ac:dyDescent="0.2">
      <c r="A19" s="51" t="s">
        <v>125</v>
      </c>
      <c r="B19" s="28">
        <f>MAX(B18-D18,0)</f>
        <v>0</v>
      </c>
      <c r="C19" s="51" t="s">
        <v>126</v>
      </c>
      <c r="D19" s="28">
        <f>MAX(D18-B18,0)</f>
        <v>1000</v>
      </c>
      <c r="F19" s="51" t="s">
        <v>125</v>
      </c>
      <c r="G19" s="28">
        <f>MAX(G18-I18,0)</f>
        <v>360</v>
      </c>
      <c r="H19" s="51" t="s">
        <v>126</v>
      </c>
      <c r="I19" s="28">
        <f>MAX(I18-G18,0)</f>
        <v>0</v>
      </c>
      <c r="K19" s="51" t="s">
        <v>125</v>
      </c>
      <c r="L19" s="28">
        <f>MAX(L18-N18,0)</f>
        <v>4000</v>
      </c>
      <c r="M19" s="51" t="s">
        <v>126</v>
      </c>
      <c r="N19" s="28">
        <f>MAX(N18-L18,0)</f>
        <v>0</v>
      </c>
    </row>
    <row r="22" spans="1:14" ht="42" customHeight="1" x14ac:dyDescent="0.2">
      <c r="A22" s="65" t="s">
        <v>130</v>
      </c>
      <c r="B22" s="65"/>
      <c r="C22" s="65"/>
      <c r="D22" s="65"/>
      <c r="F22" s="65" t="s">
        <v>131</v>
      </c>
      <c r="G22" s="65"/>
      <c r="H22" s="65"/>
      <c r="I22" s="65"/>
      <c r="K22" s="65" t="s">
        <v>132</v>
      </c>
      <c r="L22" s="65"/>
      <c r="M22" s="65"/>
      <c r="N22" s="65"/>
    </row>
    <row r="23" spans="1:14" ht="15.75" thickBot="1" x14ac:dyDescent="0.25">
      <c r="A23" s="66" t="s">
        <v>122</v>
      </c>
      <c r="B23" s="67"/>
      <c r="C23" s="68" t="s">
        <v>123</v>
      </c>
      <c r="D23" s="66"/>
      <c r="F23" s="66" t="s">
        <v>122</v>
      </c>
      <c r="G23" s="67"/>
      <c r="H23" s="68" t="s">
        <v>123</v>
      </c>
      <c r="I23" s="66"/>
      <c r="K23" s="66" t="s">
        <v>122</v>
      </c>
      <c r="L23" s="67"/>
      <c r="M23" s="68" t="s">
        <v>123</v>
      </c>
      <c r="N23" s="66"/>
    </row>
    <row r="24" spans="1:14" x14ac:dyDescent="0.2">
      <c r="A24" s="16"/>
      <c r="B24" s="17">
        <f>'Diario Simplificado'!$H$11</f>
        <v>12000</v>
      </c>
      <c r="C24" s="20"/>
      <c r="D24" s="21"/>
      <c r="G24" s="22"/>
      <c r="H24" s="18"/>
      <c r="I24" s="19">
        <f>-'Diario Simplificado'!$I$17</f>
        <v>250</v>
      </c>
      <c r="L24" s="22"/>
      <c r="M24" s="18"/>
      <c r="N24" s="19">
        <f>-'Diario Simplificado'!$L$13</f>
        <v>23600</v>
      </c>
    </row>
    <row r="25" spans="1:14" x14ac:dyDescent="0.2">
      <c r="B25" s="22"/>
      <c r="C25" s="20"/>
      <c r="D25" s="21"/>
      <c r="G25" s="22"/>
      <c r="H25" s="20"/>
      <c r="I25" s="21"/>
      <c r="L25" s="22"/>
      <c r="M25" s="20"/>
      <c r="N25" s="21"/>
    </row>
    <row r="26" spans="1:14" x14ac:dyDescent="0.2">
      <c r="B26" s="22"/>
      <c r="C26" s="20"/>
      <c r="D26" s="21"/>
      <c r="G26" s="22"/>
      <c r="H26" s="20"/>
      <c r="I26" s="21"/>
      <c r="L26" s="22"/>
      <c r="M26" s="20"/>
      <c r="N26" s="21"/>
    </row>
    <row r="27" spans="1:14" x14ac:dyDescent="0.2">
      <c r="A27" s="23" t="s">
        <v>124</v>
      </c>
      <c r="B27" s="24">
        <f>SUM(B24:B26)</f>
        <v>12000</v>
      </c>
      <c r="C27" s="25"/>
      <c r="D27" s="26">
        <f>SUM(D24:D26)</f>
        <v>0</v>
      </c>
      <c r="F27" s="23" t="s">
        <v>124</v>
      </c>
      <c r="G27" s="24">
        <f>SUM(G24:G26)</f>
        <v>0</v>
      </c>
      <c r="H27" s="25"/>
      <c r="I27" s="26">
        <f>SUM(I24:I26)</f>
        <v>250</v>
      </c>
      <c r="K27" s="23" t="s">
        <v>124</v>
      </c>
      <c r="L27" s="24">
        <f>SUM(L24:L26)</f>
        <v>0</v>
      </c>
      <c r="M27" s="25"/>
      <c r="N27" s="26">
        <f>SUM(N24:N26)</f>
        <v>23600</v>
      </c>
    </row>
    <row r="28" spans="1:14" x14ac:dyDescent="0.2">
      <c r="A28" s="51" t="s">
        <v>125</v>
      </c>
      <c r="B28" s="28">
        <f>MAX(B27-D27,0)</f>
        <v>12000</v>
      </c>
      <c r="C28" s="51" t="s">
        <v>126</v>
      </c>
      <c r="D28" s="28">
        <f>MAX(D27-B27,0)</f>
        <v>0</v>
      </c>
      <c r="F28" s="51" t="s">
        <v>125</v>
      </c>
      <c r="G28" s="28">
        <f>MAX(G27-I27,0)</f>
        <v>0</v>
      </c>
      <c r="H28" s="51" t="s">
        <v>126</v>
      </c>
      <c r="I28" s="28">
        <f>MAX(I27-G27,0)</f>
        <v>250</v>
      </c>
      <c r="K28" s="51" t="s">
        <v>125</v>
      </c>
      <c r="L28" s="28">
        <f>MAX(L27-N27,0)</f>
        <v>0</v>
      </c>
      <c r="M28" s="51" t="s">
        <v>126</v>
      </c>
      <c r="N28" s="28">
        <f>MAX(N27-L27,0)</f>
        <v>23600</v>
      </c>
    </row>
    <row r="31" spans="1:14" ht="42" customHeight="1" x14ac:dyDescent="0.2">
      <c r="A31" s="65" t="s">
        <v>133</v>
      </c>
      <c r="B31" s="65"/>
      <c r="C31" s="65"/>
      <c r="D31" s="65"/>
      <c r="F31" s="65" t="s">
        <v>134</v>
      </c>
      <c r="G31" s="65"/>
      <c r="H31" s="65"/>
      <c r="I31" s="65"/>
      <c r="K31" s="65" t="s">
        <v>135</v>
      </c>
      <c r="L31" s="65"/>
      <c r="M31" s="65"/>
      <c r="N31" s="65"/>
    </row>
    <row r="32" spans="1:14" ht="15.75" thickBot="1" x14ac:dyDescent="0.25">
      <c r="A32" s="66" t="s">
        <v>122</v>
      </c>
      <c r="B32" s="67"/>
      <c r="C32" s="68" t="s">
        <v>123</v>
      </c>
      <c r="D32" s="66"/>
      <c r="F32" s="66" t="s">
        <v>122</v>
      </c>
      <c r="G32" s="67"/>
      <c r="H32" s="68" t="s">
        <v>123</v>
      </c>
      <c r="I32" s="66"/>
      <c r="K32" s="66" t="s">
        <v>122</v>
      </c>
      <c r="L32" s="67"/>
      <c r="M32" s="68" t="s">
        <v>123</v>
      </c>
      <c r="N32" s="66"/>
    </row>
    <row r="33" spans="1:14" x14ac:dyDescent="0.2">
      <c r="B33" s="22"/>
      <c r="C33" s="18"/>
      <c r="D33" s="19">
        <f>-'Diario Simplificado'!$M$11</f>
        <v>62000</v>
      </c>
      <c r="F33" s="16"/>
      <c r="G33" s="17">
        <f>'Diario Simplificado'!$N$14</f>
        <v>12000</v>
      </c>
      <c r="H33" s="20"/>
      <c r="I33" s="21"/>
      <c r="L33" s="22"/>
      <c r="M33" s="18"/>
      <c r="N33" s="19">
        <f>-'Diario Simplificado'!$R$14</f>
        <v>24000</v>
      </c>
    </row>
    <row r="34" spans="1:14" x14ac:dyDescent="0.2">
      <c r="B34" s="22"/>
      <c r="C34" s="20"/>
      <c r="D34" s="21"/>
      <c r="G34" s="22"/>
      <c r="H34" s="20"/>
      <c r="I34" s="21"/>
      <c r="L34" s="22"/>
      <c r="M34" s="20"/>
      <c r="N34" s="21"/>
    </row>
    <row r="35" spans="1:14" x14ac:dyDescent="0.2">
      <c r="B35" s="22"/>
      <c r="C35" s="20"/>
      <c r="D35" s="21"/>
      <c r="G35" s="22"/>
      <c r="H35" s="20"/>
      <c r="I35" s="21"/>
      <c r="L35" s="22"/>
      <c r="M35" s="20"/>
      <c r="N35" s="21"/>
    </row>
    <row r="36" spans="1:14" x14ac:dyDescent="0.2">
      <c r="A36" s="23" t="s">
        <v>124</v>
      </c>
      <c r="B36" s="24">
        <f>SUM(B33:B35)</f>
        <v>0</v>
      </c>
      <c r="C36" s="25"/>
      <c r="D36" s="26">
        <f>SUM(D33:D35)</f>
        <v>62000</v>
      </c>
      <c r="F36" s="23" t="s">
        <v>124</v>
      </c>
      <c r="G36" s="24">
        <f>SUM(G33:G35)</f>
        <v>12000</v>
      </c>
      <c r="H36" s="25"/>
      <c r="I36" s="26">
        <f>SUM(I33:I35)</f>
        <v>0</v>
      </c>
      <c r="K36" s="23" t="s">
        <v>124</v>
      </c>
      <c r="L36" s="24">
        <f>SUM(L33:L35)</f>
        <v>0</v>
      </c>
      <c r="M36" s="25"/>
      <c r="N36" s="26">
        <f>SUM(N33:N35)</f>
        <v>24000</v>
      </c>
    </row>
    <row r="37" spans="1:14" x14ac:dyDescent="0.2">
      <c r="A37" s="51" t="s">
        <v>125</v>
      </c>
      <c r="B37" s="28">
        <f>MAX(B36-D36,0)</f>
        <v>0</v>
      </c>
      <c r="C37" s="51" t="s">
        <v>126</v>
      </c>
      <c r="D37" s="28">
        <f>MAX(D36-B36,0)</f>
        <v>62000</v>
      </c>
      <c r="F37" s="51" t="s">
        <v>125</v>
      </c>
      <c r="G37" s="28">
        <f>MAX(G36-I36,0)</f>
        <v>12000</v>
      </c>
      <c r="H37" s="51" t="s">
        <v>126</v>
      </c>
      <c r="I37" s="28">
        <f>MAX(I36-G36,0)</f>
        <v>0</v>
      </c>
      <c r="K37" s="51" t="s">
        <v>125</v>
      </c>
      <c r="L37" s="28">
        <f>MAX(L36-N36,0)</f>
        <v>0</v>
      </c>
      <c r="M37" s="51" t="s">
        <v>126</v>
      </c>
      <c r="N37" s="28">
        <f>MAX(N36-L36,0)</f>
        <v>24000</v>
      </c>
    </row>
    <row r="40" spans="1:14" ht="42" customHeight="1" x14ac:dyDescent="0.2">
      <c r="A40" s="65" t="s">
        <v>136</v>
      </c>
      <c r="B40" s="65"/>
      <c r="C40" s="65"/>
      <c r="D40" s="65"/>
      <c r="F40" s="65" t="s">
        <v>137</v>
      </c>
      <c r="G40" s="65"/>
      <c r="H40" s="65"/>
      <c r="I40" s="65"/>
      <c r="K40" s="65" t="s">
        <v>138</v>
      </c>
      <c r="L40" s="65"/>
      <c r="M40" s="65"/>
      <c r="N40" s="65"/>
    </row>
    <row r="41" spans="1:14" ht="15.75" thickBot="1" x14ac:dyDescent="0.25">
      <c r="A41" s="66" t="s">
        <v>122</v>
      </c>
      <c r="B41" s="67"/>
      <c r="C41" s="68" t="s">
        <v>123</v>
      </c>
      <c r="D41" s="66"/>
      <c r="F41" s="66" t="s">
        <v>122</v>
      </c>
      <c r="G41" s="67"/>
      <c r="H41" s="68" t="s">
        <v>123</v>
      </c>
      <c r="I41" s="66"/>
      <c r="K41" s="66" t="s">
        <v>122</v>
      </c>
      <c r="L41" s="67"/>
      <c r="M41" s="68" t="s">
        <v>123</v>
      </c>
      <c r="N41" s="66"/>
    </row>
    <row r="42" spans="1:14" x14ac:dyDescent="0.2">
      <c r="A42" s="16"/>
      <c r="B42" s="17">
        <f>'Diario Simplificado'!$O$15</f>
        <v>2000</v>
      </c>
      <c r="C42" s="20"/>
      <c r="D42" s="21"/>
      <c r="F42" s="16"/>
      <c r="G42" s="17">
        <f>'Diario Simplificado'!$P$17</f>
        <v>250</v>
      </c>
      <c r="H42" s="20"/>
      <c r="I42" s="21"/>
      <c r="K42" s="16"/>
      <c r="L42" s="17">
        <f>'Diario Simplificado'!$Q$16</f>
        <v>1000</v>
      </c>
      <c r="M42" s="20"/>
      <c r="N42" s="21"/>
    </row>
    <row r="43" spans="1:14" x14ac:dyDescent="0.2">
      <c r="B43" s="22"/>
      <c r="C43" s="20"/>
      <c r="D43" s="21"/>
      <c r="G43" s="22"/>
      <c r="H43" s="20"/>
      <c r="I43" s="21"/>
      <c r="L43" s="22"/>
      <c r="M43" s="20"/>
      <c r="N43" s="21"/>
    </row>
    <row r="44" spans="1:14" x14ac:dyDescent="0.2">
      <c r="B44" s="22"/>
      <c r="C44" s="20"/>
      <c r="D44" s="21"/>
      <c r="G44" s="22"/>
      <c r="H44" s="20"/>
      <c r="I44" s="21"/>
      <c r="L44" s="22"/>
      <c r="M44" s="20"/>
      <c r="N44" s="21"/>
    </row>
    <row r="45" spans="1:14" x14ac:dyDescent="0.2">
      <c r="A45" s="23" t="s">
        <v>124</v>
      </c>
      <c r="B45" s="24">
        <f>SUM(B42:B44)</f>
        <v>2000</v>
      </c>
      <c r="C45" s="25"/>
      <c r="D45" s="26">
        <f>SUM(D42:D44)</f>
        <v>0</v>
      </c>
      <c r="F45" s="23" t="s">
        <v>124</v>
      </c>
      <c r="G45" s="24">
        <f>SUM(G42:G44)</f>
        <v>250</v>
      </c>
      <c r="H45" s="25"/>
      <c r="I45" s="26">
        <f>SUM(I42:I44)</f>
        <v>0</v>
      </c>
      <c r="K45" s="23" t="s">
        <v>124</v>
      </c>
      <c r="L45" s="24">
        <f>SUM(L42:L44)</f>
        <v>1000</v>
      </c>
      <c r="M45" s="25"/>
      <c r="N45" s="26">
        <f>SUM(N42:N44)</f>
        <v>0</v>
      </c>
    </row>
    <row r="46" spans="1:14" x14ac:dyDescent="0.2">
      <c r="A46" s="51" t="s">
        <v>125</v>
      </c>
      <c r="B46" s="28">
        <f>MAX(B45-D45,0)</f>
        <v>2000</v>
      </c>
      <c r="C46" s="51" t="s">
        <v>126</v>
      </c>
      <c r="D46" s="28">
        <f>MAX(D45-B45,0)</f>
        <v>0</v>
      </c>
      <c r="F46" s="51" t="s">
        <v>125</v>
      </c>
      <c r="G46" s="28">
        <f>MAX(G45-I45,0)</f>
        <v>250</v>
      </c>
      <c r="H46" s="51" t="s">
        <v>126</v>
      </c>
      <c r="I46" s="28">
        <f>MAX(I45-G45,0)</f>
        <v>0</v>
      </c>
      <c r="K46" s="51" t="s">
        <v>125</v>
      </c>
      <c r="L46" s="28">
        <f>MAX(L45-N45,0)</f>
        <v>1000</v>
      </c>
      <c r="M46" s="51" t="s">
        <v>126</v>
      </c>
      <c r="N46" s="28">
        <f>MAX(N45-L45,0)</f>
        <v>0</v>
      </c>
    </row>
  </sheetData>
  <mergeCells count="46">
    <mergeCell ref="A14:B14"/>
    <mergeCell ref="A1:N2"/>
    <mergeCell ref="M14:N14"/>
    <mergeCell ref="K14:L14"/>
    <mergeCell ref="H14:I14"/>
    <mergeCell ref="F14:G14"/>
    <mergeCell ref="C14:D14"/>
    <mergeCell ref="A4:D4"/>
    <mergeCell ref="F4:I4"/>
    <mergeCell ref="K4:N4"/>
    <mergeCell ref="A13:D13"/>
    <mergeCell ref="F13:I13"/>
    <mergeCell ref="K13:N13"/>
    <mergeCell ref="M41:N41"/>
    <mergeCell ref="M32:N32"/>
    <mergeCell ref="K32:L32"/>
    <mergeCell ref="H32:I32"/>
    <mergeCell ref="F32:G32"/>
    <mergeCell ref="A41:B41"/>
    <mergeCell ref="C41:D41"/>
    <mergeCell ref="F41:G41"/>
    <mergeCell ref="H41:I41"/>
    <mergeCell ref="K41:L41"/>
    <mergeCell ref="A40:D40"/>
    <mergeCell ref="F40:I40"/>
    <mergeCell ref="K40:N40"/>
    <mergeCell ref="M5:N5"/>
    <mergeCell ref="K5:L5"/>
    <mergeCell ref="H5:I5"/>
    <mergeCell ref="F5:G5"/>
    <mergeCell ref="C5:D5"/>
    <mergeCell ref="A5:B5"/>
    <mergeCell ref="C32:D32"/>
    <mergeCell ref="A32:B32"/>
    <mergeCell ref="M23:N23"/>
    <mergeCell ref="H23:I23"/>
    <mergeCell ref="K23:L23"/>
    <mergeCell ref="F23:G23"/>
    <mergeCell ref="C23:D23"/>
    <mergeCell ref="A22:D22"/>
    <mergeCell ref="F22:I22"/>
    <mergeCell ref="K22:N22"/>
    <mergeCell ref="A31:D31"/>
    <mergeCell ref="F31:I31"/>
    <mergeCell ref="K31:N31"/>
    <mergeCell ref="A23:B2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49"/>
  <sheetViews>
    <sheetView showGridLines="0" topLeftCell="A34" zoomScale="115" zoomScaleNormal="115" workbookViewId="0">
      <selection activeCell="B6" sqref="B6:B16"/>
    </sheetView>
  </sheetViews>
  <sheetFormatPr defaultColWidth="8.7421875" defaultRowHeight="15" x14ac:dyDescent="0.2"/>
  <cols>
    <col min="1" max="1" width="52.05859375" customWidth="1"/>
    <col min="2" max="4" width="18.0234375" customWidth="1"/>
    <col min="5" max="5" width="22.05859375" customWidth="1"/>
  </cols>
  <sheetData>
    <row r="1" spans="1:5" ht="18" customHeight="1" x14ac:dyDescent="0.2">
      <c r="A1" s="55" t="s">
        <v>139</v>
      </c>
      <c r="B1" s="55"/>
      <c r="C1" s="55"/>
      <c r="D1" s="55"/>
      <c r="E1" s="55"/>
    </row>
    <row r="2" spans="1:5" x14ac:dyDescent="0.2">
      <c r="A2" s="55"/>
      <c r="B2" s="55"/>
      <c r="C2" s="55"/>
      <c r="D2" s="55"/>
      <c r="E2" s="55"/>
    </row>
    <row r="4" spans="1:5" x14ac:dyDescent="0.2">
      <c r="A4" s="2" t="s">
        <v>140</v>
      </c>
      <c r="B4" s="3"/>
      <c r="C4" s="3"/>
      <c r="D4" s="3"/>
      <c r="E4" s="3"/>
    </row>
    <row r="5" spans="1:5" ht="15" customHeight="1" x14ac:dyDescent="0.2">
      <c r="A5" s="4" t="s">
        <v>2</v>
      </c>
      <c r="B5" s="4" t="s">
        <v>141</v>
      </c>
      <c r="C5" s="71" t="s">
        <v>142</v>
      </c>
      <c r="D5" s="71"/>
      <c r="E5" s="71"/>
    </row>
    <row r="6" spans="1:5" ht="15" customHeight="1" x14ac:dyDescent="0.2">
      <c r="A6" s="5" t="s">
        <v>143</v>
      </c>
      <c r="B6" s="29">
        <f>'Libros Contables'!$B$12</f>
        <v>100</v>
      </c>
      <c r="C6" s="70" t="s">
        <v>23</v>
      </c>
      <c r="D6" s="70"/>
      <c r="E6" s="70"/>
    </row>
    <row r="7" spans="1:5" ht="15" customHeight="1" x14ac:dyDescent="0.2">
      <c r="A7" s="5" t="s">
        <v>53</v>
      </c>
      <c r="B7" s="29">
        <f>'Libros Contables'!$B$30</f>
        <v>60</v>
      </c>
      <c r="C7" s="70" t="s">
        <v>25</v>
      </c>
      <c r="D7" s="70"/>
      <c r="E7" s="70"/>
    </row>
    <row r="8" spans="1:5" ht="15" customHeight="1" x14ac:dyDescent="0.2">
      <c r="A8" s="5" t="s">
        <v>144</v>
      </c>
      <c r="B8" s="29">
        <f>'Libros Contables'!$B$37</f>
        <v>40</v>
      </c>
      <c r="C8" s="70" t="s">
        <v>66</v>
      </c>
      <c r="D8" s="70"/>
      <c r="E8" s="70"/>
    </row>
    <row r="9" spans="1:5" ht="15" customHeight="1" x14ac:dyDescent="0.2">
      <c r="A9" s="5" t="s">
        <v>145</v>
      </c>
      <c r="B9" s="29">
        <f>'Libros Contables'!$B$17</f>
        <v>5</v>
      </c>
      <c r="C9" s="70" t="s">
        <v>146</v>
      </c>
      <c r="D9" s="70"/>
      <c r="E9" s="70"/>
    </row>
    <row r="10" spans="1:5" ht="15" customHeight="1" x14ac:dyDescent="0.2">
      <c r="A10" s="5" t="s">
        <v>147</v>
      </c>
      <c r="B10" s="30">
        <f>'Libros Contables'!$B$13</f>
        <v>200</v>
      </c>
      <c r="C10" s="70" t="s">
        <v>148</v>
      </c>
      <c r="D10" s="70"/>
      <c r="E10" s="70"/>
    </row>
    <row r="11" spans="1:5" ht="15" customHeight="1" x14ac:dyDescent="0.2">
      <c r="A11" s="5" t="s">
        <v>149</v>
      </c>
      <c r="B11" s="11">
        <f>B9*B10</f>
        <v>1000</v>
      </c>
      <c r="C11" s="70" t="s">
        <v>150</v>
      </c>
      <c r="D11" s="70"/>
      <c r="E11" s="70"/>
    </row>
    <row r="12" spans="1:5" ht="15" customHeight="1" x14ac:dyDescent="0.2">
      <c r="A12" s="5" t="s">
        <v>32</v>
      </c>
      <c r="B12" s="30">
        <f>'Libros Contables'!$B$18</f>
        <v>1000</v>
      </c>
      <c r="C12" s="70" t="s">
        <v>151</v>
      </c>
      <c r="D12" s="70"/>
      <c r="E12" s="70"/>
    </row>
    <row r="13" spans="1:5" ht="15" customHeight="1" x14ac:dyDescent="0.2">
      <c r="A13" s="5" t="s">
        <v>152</v>
      </c>
      <c r="B13" s="11">
        <f>B12-B11</f>
        <v>0</v>
      </c>
      <c r="C13" s="70" t="s">
        <v>153</v>
      </c>
      <c r="D13" s="70"/>
      <c r="E13" s="70"/>
    </row>
    <row r="14" spans="1:5" ht="15" customHeight="1" x14ac:dyDescent="0.2">
      <c r="A14" s="5" t="s">
        <v>154</v>
      </c>
      <c r="B14" s="30">
        <f>'T Contables'!$L$10</f>
        <v>8000</v>
      </c>
      <c r="C14" s="70" t="s">
        <v>155</v>
      </c>
      <c r="D14" s="70"/>
      <c r="E14" s="70"/>
    </row>
    <row r="15" spans="1:5" ht="15" customHeight="1" x14ac:dyDescent="0.2">
      <c r="A15" s="5" t="s">
        <v>156</v>
      </c>
      <c r="B15" s="30">
        <f>-'T Contables'!$D$19</f>
        <v>-1000</v>
      </c>
      <c r="C15" s="70" t="s">
        <v>157</v>
      </c>
      <c r="D15" s="70"/>
      <c r="E15" s="70"/>
    </row>
    <row r="16" spans="1:5" ht="15" customHeight="1" x14ac:dyDescent="0.2">
      <c r="A16" s="31" t="s">
        <v>158</v>
      </c>
      <c r="B16" s="32">
        <f>B14+B15</f>
        <v>7000</v>
      </c>
      <c r="C16" s="70" t="s">
        <v>159</v>
      </c>
      <c r="D16" s="70"/>
      <c r="E16" s="70"/>
    </row>
    <row r="18" spans="1:5" x14ac:dyDescent="0.2">
      <c r="A18" s="2" t="s">
        <v>160</v>
      </c>
      <c r="B18" s="3"/>
      <c r="C18" s="3"/>
      <c r="D18" s="3"/>
      <c r="E18" s="3"/>
    </row>
    <row r="19" spans="1:5" ht="15" customHeight="1" x14ac:dyDescent="0.2">
      <c r="A19" s="4" t="s">
        <v>2</v>
      </c>
      <c r="B19" s="4" t="s">
        <v>37</v>
      </c>
      <c r="C19" s="71" t="s">
        <v>142</v>
      </c>
      <c r="D19" s="71"/>
      <c r="E19" s="71"/>
    </row>
    <row r="20" spans="1:5" ht="15" customHeight="1" x14ac:dyDescent="0.2">
      <c r="A20" s="5" t="s">
        <v>161</v>
      </c>
      <c r="B20" s="30">
        <f>'Libros Contables'!$B$9</f>
        <v>12000</v>
      </c>
      <c r="C20" s="70" t="s">
        <v>162</v>
      </c>
      <c r="D20" s="70"/>
      <c r="E20" s="70"/>
    </row>
    <row r="21" spans="1:5" ht="15" customHeight="1" x14ac:dyDescent="0.2">
      <c r="A21" s="5" t="s">
        <v>163</v>
      </c>
      <c r="B21" s="29">
        <f>'Libros Contables'!$B$19</f>
        <v>4</v>
      </c>
      <c r="C21" s="70" t="s">
        <v>164</v>
      </c>
      <c r="D21" s="70"/>
      <c r="E21" s="70"/>
    </row>
    <row r="22" spans="1:5" ht="15" customHeight="1" x14ac:dyDescent="0.2">
      <c r="A22" s="5" t="s">
        <v>71</v>
      </c>
      <c r="B22" s="11">
        <f>B20/B21</f>
        <v>3000</v>
      </c>
      <c r="C22" s="70" t="s">
        <v>165</v>
      </c>
      <c r="D22" s="70"/>
      <c r="E22" s="70"/>
    </row>
    <row r="23" spans="1:5" ht="15" customHeight="1" x14ac:dyDescent="0.2">
      <c r="A23" s="5" t="s">
        <v>73</v>
      </c>
      <c r="B23" s="11">
        <f>B22/12</f>
        <v>250</v>
      </c>
      <c r="C23" s="70" t="s">
        <v>166</v>
      </c>
      <c r="D23" s="70"/>
      <c r="E23" s="70"/>
    </row>
    <row r="24" spans="1:5" ht="15" customHeight="1" x14ac:dyDescent="0.2">
      <c r="A24" s="5" t="s">
        <v>167</v>
      </c>
      <c r="B24" s="30">
        <f>'T Contables'!$I$28</f>
        <v>250</v>
      </c>
      <c r="C24" s="70" t="s">
        <v>168</v>
      </c>
      <c r="D24" s="70"/>
      <c r="E24" s="70"/>
    </row>
    <row r="25" spans="1:5" ht="15" customHeight="1" x14ac:dyDescent="0.2">
      <c r="A25" s="31" t="s">
        <v>169</v>
      </c>
      <c r="B25" s="32">
        <f>B20-B24</f>
        <v>11750</v>
      </c>
      <c r="C25" s="70" t="s">
        <v>170</v>
      </c>
      <c r="D25" s="70"/>
      <c r="E25" s="70"/>
    </row>
    <row r="27" spans="1:5" x14ac:dyDescent="0.2">
      <c r="A27" s="27" t="s">
        <v>171</v>
      </c>
    </row>
    <row r="28" spans="1:5" ht="30" customHeight="1" x14ac:dyDescent="0.2">
      <c r="A28" s="4" t="s">
        <v>172</v>
      </c>
      <c r="B28" s="4" t="s">
        <v>173</v>
      </c>
      <c r="C28" s="4" t="s">
        <v>174</v>
      </c>
      <c r="D28" s="4" t="s">
        <v>175</v>
      </c>
      <c r="E28" s="4" t="s">
        <v>176</v>
      </c>
    </row>
    <row r="29" spans="1:5" x14ac:dyDescent="0.2">
      <c r="A29" s="5" t="s">
        <v>177</v>
      </c>
      <c r="B29" s="10">
        <v>3</v>
      </c>
      <c r="C29" s="11">
        <f>B29*$B$23</f>
        <v>750</v>
      </c>
      <c r="D29" s="11">
        <f>SUM($C$29:C29)</f>
        <v>750</v>
      </c>
      <c r="E29" s="11">
        <f>$B$20-D29</f>
        <v>11250</v>
      </c>
    </row>
    <row r="30" spans="1:5" x14ac:dyDescent="0.2">
      <c r="A30" s="5" t="s">
        <v>178</v>
      </c>
      <c r="B30" s="10">
        <v>12</v>
      </c>
      <c r="C30" s="11">
        <f>B30*$B$23</f>
        <v>3000</v>
      </c>
      <c r="D30" s="11">
        <f>SUM($C$29:C30)</f>
        <v>3750</v>
      </c>
      <c r="E30" s="11">
        <f>$B$20-D30</f>
        <v>8250</v>
      </c>
    </row>
    <row r="31" spans="1:5" x14ac:dyDescent="0.2">
      <c r="A31" s="5" t="s">
        <v>179</v>
      </c>
      <c r="B31" s="10">
        <v>12</v>
      </c>
      <c r="C31" s="11">
        <f>B31*$B$23</f>
        <v>3000</v>
      </c>
      <c r="D31" s="11">
        <f>SUM($C$29:C31)</f>
        <v>6750</v>
      </c>
      <c r="E31" s="11">
        <f>$B$20-D31</f>
        <v>5250</v>
      </c>
    </row>
    <row r="32" spans="1:5" x14ac:dyDescent="0.2">
      <c r="A32" s="5" t="s">
        <v>180</v>
      </c>
      <c r="B32" s="10">
        <v>12</v>
      </c>
      <c r="C32" s="11">
        <f>B32*$B$23</f>
        <v>3000</v>
      </c>
      <c r="D32" s="11">
        <f>SUM($C$29:C32)</f>
        <v>9750</v>
      </c>
      <c r="E32" s="11">
        <f>$B$20-D32</f>
        <v>2250</v>
      </c>
    </row>
    <row r="33" spans="1:5" x14ac:dyDescent="0.2">
      <c r="A33" s="5" t="s">
        <v>181</v>
      </c>
      <c r="B33" s="10">
        <v>9</v>
      </c>
      <c r="C33" s="11">
        <f>B33*$B$23</f>
        <v>2250</v>
      </c>
      <c r="D33" s="11">
        <f>SUM($C$29:C33)</f>
        <v>12000</v>
      </c>
      <c r="E33" s="11">
        <f>$B$20-D33</f>
        <v>0</v>
      </c>
    </row>
    <row r="34" spans="1:5" x14ac:dyDescent="0.2">
      <c r="A34" s="31" t="s">
        <v>124</v>
      </c>
      <c r="B34" s="33">
        <f>SUM(B29:B33)</f>
        <v>48</v>
      </c>
      <c r="C34" s="32">
        <f>SUM(C29:C33)</f>
        <v>12000</v>
      </c>
    </row>
    <row r="36" spans="1:5" x14ac:dyDescent="0.2">
      <c r="A36" s="2" t="s">
        <v>182</v>
      </c>
      <c r="B36" s="3"/>
      <c r="C36" s="3"/>
      <c r="D36" s="3"/>
      <c r="E36" s="3"/>
    </row>
    <row r="37" spans="1:5" ht="15" customHeight="1" x14ac:dyDescent="0.2">
      <c r="A37" s="4" t="s">
        <v>2</v>
      </c>
      <c r="B37" s="4" t="s">
        <v>37</v>
      </c>
      <c r="C37" s="71" t="s">
        <v>142</v>
      </c>
      <c r="D37" s="71"/>
      <c r="E37" s="71"/>
    </row>
    <row r="38" spans="1:5" ht="15" customHeight="1" x14ac:dyDescent="0.2">
      <c r="A38" s="5" t="s">
        <v>183</v>
      </c>
      <c r="B38" s="30">
        <f>'Libros Contables'!$B$24</f>
        <v>6000</v>
      </c>
      <c r="C38" s="70" t="s">
        <v>184</v>
      </c>
      <c r="D38" s="70"/>
      <c r="E38" s="70"/>
    </row>
    <row r="39" spans="1:5" ht="15" customHeight="1" x14ac:dyDescent="0.2">
      <c r="A39" s="5" t="s">
        <v>185</v>
      </c>
      <c r="B39" s="30">
        <f>-'Libros Contables'!$B$39</f>
        <v>-2000</v>
      </c>
      <c r="C39" s="70" t="s">
        <v>186</v>
      </c>
      <c r="D39" s="70"/>
      <c r="E39" s="70"/>
    </row>
    <row r="40" spans="1:5" ht="15" customHeight="1" x14ac:dyDescent="0.2">
      <c r="A40" s="31" t="s">
        <v>187</v>
      </c>
      <c r="B40" s="32">
        <f>B38+B39</f>
        <v>4000</v>
      </c>
      <c r="C40" s="70" t="s">
        <v>188</v>
      </c>
      <c r="D40" s="70"/>
      <c r="E40" s="70"/>
    </row>
    <row r="41" spans="1:5" ht="15" customHeight="1" x14ac:dyDescent="0.2">
      <c r="A41" s="5" t="s">
        <v>189</v>
      </c>
      <c r="B41" s="30">
        <f>'T Contables'!$L$19</f>
        <v>4000</v>
      </c>
      <c r="C41" s="70" t="s">
        <v>190</v>
      </c>
      <c r="D41" s="70"/>
      <c r="E41" s="70"/>
    </row>
    <row r="43" spans="1:5" x14ac:dyDescent="0.2">
      <c r="A43" s="2" t="s">
        <v>191</v>
      </c>
      <c r="B43" s="3"/>
      <c r="C43" s="3"/>
      <c r="D43" s="3"/>
      <c r="E43" s="3"/>
    </row>
    <row r="44" spans="1:5" ht="15" customHeight="1" x14ac:dyDescent="0.2">
      <c r="A44" s="4" t="s">
        <v>2</v>
      </c>
      <c r="B44" s="4" t="s">
        <v>37</v>
      </c>
      <c r="C44" s="71" t="s">
        <v>142</v>
      </c>
      <c r="D44" s="71"/>
      <c r="E44" s="71"/>
    </row>
    <row r="45" spans="1:5" ht="15" customHeight="1" x14ac:dyDescent="0.2">
      <c r="A45" s="5" t="s">
        <v>192</v>
      </c>
      <c r="B45" s="30">
        <f>'Libros Contables'!$B$25</f>
        <v>1080</v>
      </c>
      <c r="C45" s="70" t="s">
        <v>15</v>
      </c>
      <c r="D45" s="70"/>
      <c r="E45" s="70"/>
    </row>
    <row r="46" spans="1:5" ht="15" customHeight="1" x14ac:dyDescent="0.2">
      <c r="A46" s="5" t="s">
        <v>193</v>
      </c>
      <c r="B46" s="30">
        <f>'Libros Contables'!$B$28</f>
        <v>3600</v>
      </c>
      <c r="C46" s="70" t="s">
        <v>23</v>
      </c>
      <c r="D46" s="70"/>
      <c r="E46" s="70"/>
    </row>
    <row r="47" spans="1:5" ht="15" customHeight="1" x14ac:dyDescent="0.2">
      <c r="A47" s="5" t="s">
        <v>194</v>
      </c>
      <c r="B47" s="30">
        <f>-'Libros Contables'!$B$32</f>
        <v>-4320</v>
      </c>
      <c r="C47" s="70" t="s">
        <v>25</v>
      </c>
      <c r="D47" s="70"/>
      <c r="E47" s="70"/>
    </row>
    <row r="48" spans="1:5" ht="15" customHeight="1" x14ac:dyDescent="0.2">
      <c r="A48" s="31" t="s">
        <v>195</v>
      </c>
      <c r="B48" s="32">
        <f>SUM(B45:B47)</f>
        <v>360</v>
      </c>
      <c r="C48" s="70" t="s">
        <v>196</v>
      </c>
      <c r="D48" s="70"/>
      <c r="E48" s="70"/>
    </row>
    <row r="49" spans="1:5" ht="15" customHeight="1" x14ac:dyDescent="0.2">
      <c r="A49" s="5" t="s">
        <v>197</v>
      </c>
      <c r="B49" s="30">
        <f>'T Contables'!$G$19</f>
        <v>360</v>
      </c>
      <c r="C49" s="70" t="s">
        <v>190</v>
      </c>
      <c r="D49" s="70"/>
      <c r="E49" s="70"/>
    </row>
  </sheetData>
  <mergeCells count="31">
    <mergeCell ref="A1:E2"/>
    <mergeCell ref="C45:E45"/>
    <mergeCell ref="C46:E46"/>
    <mergeCell ref="C47:E47"/>
    <mergeCell ref="C48:E48"/>
    <mergeCell ref="C22:E22"/>
    <mergeCell ref="C23:E23"/>
    <mergeCell ref="C24:E24"/>
    <mergeCell ref="C25:E25"/>
    <mergeCell ref="C37:E37"/>
    <mergeCell ref="C15:E15"/>
    <mergeCell ref="C16:E16"/>
    <mergeCell ref="C19:E19"/>
    <mergeCell ref="C20:E20"/>
    <mergeCell ref="C21:E21"/>
    <mergeCell ref="C10:E10"/>
    <mergeCell ref="C49:E49"/>
    <mergeCell ref="C38:E38"/>
    <mergeCell ref="C39:E39"/>
    <mergeCell ref="C40:E40"/>
    <mergeCell ref="C41:E41"/>
    <mergeCell ref="C44:E44"/>
    <mergeCell ref="C11:E11"/>
    <mergeCell ref="C12:E12"/>
    <mergeCell ref="C13:E13"/>
    <mergeCell ref="C14:E14"/>
    <mergeCell ref="C5:E5"/>
    <mergeCell ref="C6:E6"/>
    <mergeCell ref="C7:E7"/>
    <mergeCell ref="C8:E8"/>
    <mergeCell ref="C9:E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22"/>
  <sheetViews>
    <sheetView showGridLines="0" zoomScaleNormal="100" workbookViewId="0">
      <pane xSplit="2" ySplit="10" topLeftCell="C11" activePane="bottomRight" state="frozen"/>
      <selection pane="bottomLeft" activeCell="A11" sqref="A11"/>
      <selection pane="topRight" activeCell="C1" sqref="C1"/>
      <selection pane="bottomRight" activeCell="C5" sqref="C5"/>
    </sheetView>
  </sheetViews>
  <sheetFormatPr defaultColWidth="8.7421875" defaultRowHeight="15" x14ac:dyDescent="0.2"/>
  <cols>
    <col min="1" max="1" width="13.046875" customWidth="1"/>
    <col min="2" max="2" width="50.04296875" customWidth="1"/>
    <col min="3" max="18" width="14.52734375" customWidth="1"/>
    <col min="19" max="19" width="11.97265625" customWidth="1"/>
  </cols>
  <sheetData>
    <row r="1" spans="1:19" x14ac:dyDescent="0.2">
      <c r="A1" s="72" t="s">
        <v>198</v>
      </c>
      <c r="B1" s="72"/>
      <c r="C1" s="72"/>
    </row>
    <row r="3" spans="1:19" x14ac:dyDescent="0.2">
      <c r="A3" s="27" t="s">
        <v>199</v>
      </c>
      <c r="B3" s="27" t="s">
        <v>200</v>
      </c>
    </row>
    <row r="4" spans="1:19" x14ac:dyDescent="0.2">
      <c r="A4" s="27" t="s">
        <v>201</v>
      </c>
      <c r="B4" s="27" t="s">
        <v>202</v>
      </c>
      <c r="L4" t="s">
        <v>313</v>
      </c>
    </row>
    <row r="5" spans="1:19" x14ac:dyDescent="0.2">
      <c r="A5" s="27" t="s">
        <v>203</v>
      </c>
    </row>
    <row r="6" spans="1:19" x14ac:dyDescent="0.2">
      <c r="B6" s="27" t="s">
        <v>204</v>
      </c>
    </row>
    <row r="7" spans="1:19" x14ac:dyDescent="0.2">
      <c r="A7" s="34"/>
    </row>
    <row r="8" spans="1:19" ht="30" customHeight="1" x14ac:dyDescent="0.2">
      <c r="A8" s="73" t="s">
        <v>205</v>
      </c>
      <c r="B8" s="73" t="s">
        <v>206</v>
      </c>
      <c r="C8" s="73" t="s">
        <v>207</v>
      </c>
      <c r="D8" s="73"/>
      <c r="E8" s="73"/>
      <c r="F8" s="73"/>
      <c r="G8" s="73"/>
      <c r="H8" s="73"/>
      <c r="I8" s="73"/>
      <c r="J8" s="73" t="s">
        <v>208</v>
      </c>
      <c r="K8" s="73"/>
      <c r="L8" s="73"/>
      <c r="M8" s="48" t="s">
        <v>209</v>
      </c>
      <c r="N8" s="73" t="s">
        <v>210</v>
      </c>
      <c r="O8" s="73"/>
      <c r="P8" s="73"/>
      <c r="Q8" s="73"/>
      <c r="R8" s="48" t="s">
        <v>211</v>
      </c>
      <c r="S8" s="73" t="s">
        <v>212</v>
      </c>
    </row>
    <row r="9" spans="1:19" x14ac:dyDescent="0.2">
      <c r="A9" s="73"/>
      <c r="B9" s="73"/>
      <c r="C9" s="49" t="s">
        <v>213</v>
      </c>
      <c r="D9" s="49" t="s">
        <v>214</v>
      </c>
      <c r="E9" s="49" t="s">
        <v>215</v>
      </c>
      <c r="F9" s="49" t="s">
        <v>216</v>
      </c>
      <c r="G9" s="49" t="s">
        <v>217</v>
      </c>
      <c r="H9" s="49" t="s">
        <v>218</v>
      </c>
      <c r="I9" s="49" t="s">
        <v>219</v>
      </c>
      <c r="J9" s="49" t="s">
        <v>220</v>
      </c>
      <c r="K9" s="49" t="s">
        <v>221</v>
      </c>
      <c r="L9" s="49" t="s">
        <v>222</v>
      </c>
      <c r="M9" s="49" t="s">
        <v>223</v>
      </c>
      <c r="N9" s="49" t="s">
        <v>224</v>
      </c>
      <c r="O9" s="49" t="s">
        <v>225</v>
      </c>
      <c r="P9" s="49" t="s">
        <v>226</v>
      </c>
      <c r="Q9" s="49" t="s">
        <v>227</v>
      </c>
      <c r="R9" s="49" t="s">
        <v>228</v>
      </c>
      <c r="S9" s="73"/>
    </row>
    <row r="10" spans="1:19" ht="36" customHeight="1" x14ac:dyDescent="0.2">
      <c r="A10" s="73"/>
      <c r="B10" s="73"/>
      <c r="C10" s="50" t="s">
        <v>229</v>
      </c>
      <c r="D10" s="50" t="s">
        <v>230</v>
      </c>
      <c r="E10" s="50" t="s">
        <v>231</v>
      </c>
      <c r="F10" s="50" t="s">
        <v>232</v>
      </c>
      <c r="G10" s="50" t="s">
        <v>233</v>
      </c>
      <c r="H10" s="50" t="s">
        <v>234</v>
      </c>
      <c r="I10" s="50" t="s">
        <v>235</v>
      </c>
      <c r="J10" s="50" t="s">
        <v>236</v>
      </c>
      <c r="K10" s="50" t="s">
        <v>237</v>
      </c>
      <c r="L10" s="50" t="s">
        <v>238</v>
      </c>
      <c r="M10" s="50" t="s">
        <v>239</v>
      </c>
      <c r="N10" s="50" t="s">
        <v>63</v>
      </c>
      <c r="O10" s="50" t="s">
        <v>240</v>
      </c>
      <c r="P10" s="50" t="s">
        <v>241</v>
      </c>
      <c r="Q10" s="50" t="s">
        <v>242</v>
      </c>
      <c r="R10" s="50" t="s">
        <v>243</v>
      </c>
      <c r="S10" s="73"/>
    </row>
    <row r="11" spans="1:19" ht="30" customHeight="1" x14ac:dyDescent="0.2">
      <c r="A11" s="35">
        <v>46296</v>
      </c>
      <c r="B11" s="36" t="s">
        <v>244</v>
      </c>
      <c r="C11" s="30">
        <f>'Libros Contables'!$B$8</f>
        <v>50000</v>
      </c>
      <c r="D11" s="11"/>
      <c r="E11" s="11"/>
      <c r="F11" s="11"/>
      <c r="G11" s="11"/>
      <c r="H11" s="30">
        <f>'Libros Contables'!$B$9</f>
        <v>12000</v>
      </c>
      <c r="I11" s="11"/>
      <c r="J11" s="11"/>
      <c r="K11" s="11"/>
      <c r="L11" s="11"/>
      <c r="M11" s="30">
        <f>-'Libros Contables'!$B$23</f>
        <v>-62000</v>
      </c>
      <c r="N11" s="11"/>
      <c r="O11" s="11"/>
      <c r="P11" s="11"/>
      <c r="Q11" s="11"/>
      <c r="R11" s="11"/>
      <c r="S11" s="11">
        <f t="shared" ref="S11:S17" si="0">ROUND(SUM(C11:R11),2)</f>
        <v>0</v>
      </c>
    </row>
    <row r="12" spans="1:19" ht="30" customHeight="1" x14ac:dyDescent="0.2">
      <c r="A12" s="35">
        <v>46298</v>
      </c>
      <c r="B12" s="36" t="s">
        <v>245</v>
      </c>
      <c r="C12" s="30">
        <f>-'Libros Contables'!$B$26</f>
        <v>-7080</v>
      </c>
      <c r="D12" s="11"/>
      <c r="E12" s="30">
        <f>'Libros Contables'!$B$24</f>
        <v>6000</v>
      </c>
      <c r="F12" s="11"/>
      <c r="G12" s="11"/>
      <c r="H12" s="11"/>
      <c r="I12" s="11"/>
      <c r="J12" s="30">
        <f>'Libros Contables'!$B$25</f>
        <v>1080</v>
      </c>
      <c r="K12" s="11"/>
      <c r="L12" s="11"/>
      <c r="M12" s="11"/>
      <c r="N12" s="11"/>
      <c r="O12" s="11"/>
      <c r="P12" s="11"/>
      <c r="Q12" s="11"/>
      <c r="R12" s="11"/>
      <c r="S12" s="11">
        <f t="shared" si="0"/>
        <v>0</v>
      </c>
    </row>
    <row r="13" spans="1:19" ht="30" customHeight="1" x14ac:dyDescent="0.2">
      <c r="A13" s="35">
        <v>46303</v>
      </c>
      <c r="B13" s="36" t="s">
        <v>246</v>
      </c>
      <c r="C13" s="11"/>
      <c r="D13" s="11"/>
      <c r="E13" s="11"/>
      <c r="F13" s="30">
        <f>'Libros Contables'!$B$27</f>
        <v>20000</v>
      </c>
      <c r="G13" s="11"/>
      <c r="H13" s="11"/>
      <c r="I13" s="11"/>
      <c r="J13" s="30">
        <f>'Libros Contables'!$B$28</f>
        <v>3600</v>
      </c>
      <c r="K13" s="11"/>
      <c r="L13" s="30">
        <f>-'Libros Contables'!$B$29</f>
        <v>-23600</v>
      </c>
      <c r="M13" s="11"/>
      <c r="N13" s="11"/>
      <c r="O13" s="11"/>
      <c r="P13" s="11"/>
      <c r="Q13" s="11"/>
      <c r="R13" s="11"/>
      <c r="S13" s="11">
        <f t="shared" si="0"/>
        <v>0</v>
      </c>
    </row>
    <row r="14" spans="1:19" ht="30" customHeight="1" x14ac:dyDescent="0.2">
      <c r="A14" s="35">
        <v>46310</v>
      </c>
      <c r="B14" s="36" t="s">
        <v>247</v>
      </c>
      <c r="C14" s="30">
        <f>'Libros Contables'!$B$34</f>
        <v>14160</v>
      </c>
      <c r="D14" s="30">
        <f>'Libros Contables'!$B$35</f>
        <v>14160</v>
      </c>
      <c r="E14" s="11"/>
      <c r="F14" s="30">
        <f>-'Libros Contables'!$B$36</f>
        <v>-12000</v>
      </c>
      <c r="G14" s="11"/>
      <c r="H14" s="11"/>
      <c r="I14" s="11"/>
      <c r="J14" s="11"/>
      <c r="K14" s="30">
        <f>-'Libros Contables'!$B$32</f>
        <v>-4320</v>
      </c>
      <c r="L14" s="11"/>
      <c r="M14" s="11"/>
      <c r="N14" s="30">
        <f>'Libros Contables'!$B$36</f>
        <v>12000</v>
      </c>
      <c r="O14" s="11"/>
      <c r="P14" s="11"/>
      <c r="Q14" s="11"/>
      <c r="R14" s="30">
        <f>-'Libros Contables'!$B$31</f>
        <v>-24000</v>
      </c>
      <c r="S14" s="11">
        <f t="shared" si="0"/>
        <v>0</v>
      </c>
    </row>
    <row r="15" spans="1:19" ht="30" customHeight="1" x14ac:dyDescent="0.2">
      <c r="A15" s="35">
        <v>46326</v>
      </c>
      <c r="B15" s="36" t="s">
        <v>248</v>
      </c>
      <c r="C15" s="11"/>
      <c r="D15" s="11"/>
      <c r="E15" s="30">
        <f>-'Libros Contables'!$B$39</f>
        <v>-2000</v>
      </c>
      <c r="F15" s="11"/>
      <c r="G15" s="11"/>
      <c r="H15" s="11"/>
      <c r="I15" s="11"/>
      <c r="J15" s="11"/>
      <c r="K15" s="11"/>
      <c r="L15" s="11"/>
      <c r="M15" s="11"/>
      <c r="N15" s="11"/>
      <c r="O15" s="30">
        <f>'Libros Contables'!$B$39</f>
        <v>2000</v>
      </c>
      <c r="P15" s="11"/>
      <c r="Q15" s="11"/>
      <c r="R15" s="11"/>
      <c r="S15" s="11">
        <f t="shared" si="0"/>
        <v>0</v>
      </c>
    </row>
    <row r="16" spans="1:19" ht="30" customHeight="1" x14ac:dyDescent="0.2">
      <c r="A16" s="35">
        <v>46326</v>
      </c>
      <c r="B16" s="36" t="s">
        <v>249</v>
      </c>
      <c r="C16" s="11"/>
      <c r="D16" s="11"/>
      <c r="E16" s="11"/>
      <c r="F16" s="11"/>
      <c r="G16" s="30">
        <f>-'Libros Contables'!$B$18</f>
        <v>-1000</v>
      </c>
      <c r="H16" s="11"/>
      <c r="I16" s="11"/>
      <c r="J16" s="11"/>
      <c r="K16" s="11"/>
      <c r="L16" s="11"/>
      <c r="M16" s="11"/>
      <c r="N16" s="11"/>
      <c r="O16" s="11"/>
      <c r="P16" s="11"/>
      <c r="Q16" s="30">
        <f>'Libros Contables'!$B$18</f>
        <v>1000</v>
      </c>
      <c r="R16" s="11"/>
      <c r="S16" s="11">
        <f t="shared" si="0"/>
        <v>0</v>
      </c>
    </row>
    <row r="17" spans="1:19" ht="30" customHeight="1" x14ac:dyDescent="0.2">
      <c r="A17" s="35">
        <v>46326</v>
      </c>
      <c r="B17" s="36" t="s">
        <v>250</v>
      </c>
      <c r="C17" s="11"/>
      <c r="D17" s="11"/>
      <c r="E17" s="11"/>
      <c r="F17" s="11"/>
      <c r="G17" s="11"/>
      <c r="H17" s="11"/>
      <c r="I17" s="30">
        <f>-'Libros Contables'!$B$41</f>
        <v>-250</v>
      </c>
      <c r="J17" s="11"/>
      <c r="K17" s="11"/>
      <c r="L17" s="11"/>
      <c r="M17" s="11"/>
      <c r="N17" s="11"/>
      <c r="O17" s="11"/>
      <c r="P17" s="30">
        <f>'Libros Contables'!$B$41</f>
        <v>250</v>
      </c>
      <c r="Q17" s="11"/>
      <c r="R17" s="11"/>
      <c r="S17" s="11">
        <f t="shared" si="0"/>
        <v>0</v>
      </c>
    </row>
    <row r="19" spans="1:19" x14ac:dyDescent="0.2">
      <c r="A19" s="37" t="s">
        <v>251</v>
      </c>
      <c r="B19" s="38"/>
      <c r="C19" s="39">
        <f t="shared" ref="C19:R19" si="1">SUM(C11:C17)</f>
        <v>57080</v>
      </c>
      <c r="D19" s="39">
        <f t="shared" si="1"/>
        <v>14160</v>
      </c>
      <c r="E19" s="39">
        <f t="shared" si="1"/>
        <v>4000</v>
      </c>
      <c r="F19" s="39">
        <f t="shared" si="1"/>
        <v>8000</v>
      </c>
      <c r="G19" s="39">
        <f t="shared" si="1"/>
        <v>-1000</v>
      </c>
      <c r="H19" s="39">
        <f t="shared" si="1"/>
        <v>12000</v>
      </c>
      <c r="I19" s="39">
        <f t="shared" si="1"/>
        <v>-250</v>
      </c>
      <c r="J19" s="39">
        <f t="shared" si="1"/>
        <v>4680</v>
      </c>
      <c r="K19" s="39">
        <f t="shared" si="1"/>
        <v>-4320</v>
      </c>
      <c r="L19" s="39">
        <f t="shared" si="1"/>
        <v>-23600</v>
      </c>
      <c r="M19" s="39">
        <f t="shared" si="1"/>
        <v>-62000</v>
      </c>
      <c r="N19" s="39">
        <f t="shared" si="1"/>
        <v>12000</v>
      </c>
      <c r="O19" s="39">
        <f t="shared" si="1"/>
        <v>2000</v>
      </c>
      <c r="P19" s="39">
        <f t="shared" si="1"/>
        <v>250</v>
      </c>
      <c r="Q19" s="39">
        <f t="shared" si="1"/>
        <v>1000</v>
      </c>
      <c r="R19" s="39">
        <f t="shared" si="1"/>
        <v>-24000</v>
      </c>
      <c r="S19" s="39">
        <f>ROUND(SUM(S11:S17),2)</f>
        <v>0</v>
      </c>
    </row>
    <row r="20" spans="1:19" x14ac:dyDescent="0.2">
      <c r="A20" s="27" t="s">
        <v>252</v>
      </c>
      <c r="C20" s="11">
        <f t="shared" ref="C20:R20" si="2">SUMIF(C11:C17,"&gt;0")</f>
        <v>64160</v>
      </c>
      <c r="D20" s="11">
        <f t="shared" si="2"/>
        <v>14160</v>
      </c>
      <c r="E20" s="11">
        <f t="shared" si="2"/>
        <v>6000</v>
      </c>
      <c r="F20" s="11">
        <f t="shared" si="2"/>
        <v>20000</v>
      </c>
      <c r="G20" s="11">
        <f t="shared" si="2"/>
        <v>0</v>
      </c>
      <c r="H20" s="11">
        <f t="shared" si="2"/>
        <v>12000</v>
      </c>
      <c r="I20" s="11">
        <f t="shared" si="2"/>
        <v>0</v>
      </c>
      <c r="J20" s="11">
        <f t="shared" si="2"/>
        <v>4680</v>
      </c>
      <c r="K20" s="11">
        <f t="shared" si="2"/>
        <v>0</v>
      </c>
      <c r="L20" s="11">
        <f t="shared" si="2"/>
        <v>0</v>
      </c>
      <c r="M20" s="11">
        <f t="shared" si="2"/>
        <v>0</v>
      </c>
      <c r="N20" s="11">
        <f t="shared" si="2"/>
        <v>12000</v>
      </c>
      <c r="O20" s="11">
        <f t="shared" si="2"/>
        <v>2000</v>
      </c>
      <c r="P20" s="11">
        <f t="shared" si="2"/>
        <v>250</v>
      </c>
      <c r="Q20" s="11">
        <f t="shared" si="2"/>
        <v>1000</v>
      </c>
      <c r="R20" s="11">
        <f t="shared" si="2"/>
        <v>0</v>
      </c>
      <c r="S20" s="32">
        <f>SUM(C20:R20)</f>
        <v>136250</v>
      </c>
    </row>
    <row r="21" spans="1:19" x14ac:dyDescent="0.2">
      <c r="A21" s="27" t="s">
        <v>253</v>
      </c>
      <c r="C21" s="11">
        <f t="shared" ref="C21:R21" si="3">-SUMIF(C11:C17,"&lt;0")</f>
        <v>7080</v>
      </c>
      <c r="D21" s="11">
        <f t="shared" si="3"/>
        <v>0</v>
      </c>
      <c r="E21" s="11">
        <f t="shared" si="3"/>
        <v>2000</v>
      </c>
      <c r="F21" s="11">
        <f t="shared" si="3"/>
        <v>12000</v>
      </c>
      <c r="G21" s="11">
        <f t="shared" si="3"/>
        <v>1000</v>
      </c>
      <c r="H21" s="11">
        <f t="shared" si="3"/>
        <v>0</v>
      </c>
      <c r="I21" s="11">
        <f t="shared" si="3"/>
        <v>250</v>
      </c>
      <c r="J21" s="11">
        <f t="shared" si="3"/>
        <v>0</v>
      </c>
      <c r="K21" s="11">
        <f t="shared" si="3"/>
        <v>4320</v>
      </c>
      <c r="L21" s="11">
        <f t="shared" si="3"/>
        <v>23600</v>
      </c>
      <c r="M21" s="11">
        <f t="shared" si="3"/>
        <v>62000</v>
      </c>
      <c r="N21" s="11">
        <f t="shared" si="3"/>
        <v>0</v>
      </c>
      <c r="O21" s="11">
        <f t="shared" si="3"/>
        <v>0</v>
      </c>
      <c r="P21" s="11">
        <f t="shared" si="3"/>
        <v>0</v>
      </c>
      <c r="Q21" s="11">
        <f t="shared" si="3"/>
        <v>0</v>
      </c>
      <c r="R21" s="11">
        <f t="shared" si="3"/>
        <v>24000</v>
      </c>
      <c r="S21" s="32">
        <f>SUM(C21:R21)</f>
        <v>136250</v>
      </c>
    </row>
    <row r="22" spans="1:19" x14ac:dyDescent="0.2">
      <c r="A22" s="40" t="str">
        <f>IF(AND(ROUND(S20-S21,2)=0,ROUND(S19,2)=0),"✔ LIBRO DIARIO CUADRADO: Total Debe = Total Haber","✘ REVISAR: el libro diario no cuadra")</f>
        <v>✔ LIBRO DIARIO CUADRADO: Total Debe = Total Haber</v>
      </c>
    </row>
  </sheetData>
  <mergeCells count="7">
    <mergeCell ref="A1:C1"/>
    <mergeCell ref="S8:S10"/>
    <mergeCell ref="A8:A10"/>
    <mergeCell ref="B8:B10"/>
    <mergeCell ref="C8:I8"/>
    <mergeCell ref="J8:L8"/>
    <mergeCell ref="N8:Q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44"/>
  <sheetViews>
    <sheetView showGridLines="0" topLeftCell="A10" zoomScaleNormal="100" workbookViewId="0">
      <selection activeCell="G7" sqref="G7"/>
    </sheetView>
  </sheetViews>
  <sheetFormatPr defaultColWidth="8.7421875" defaultRowHeight="15" x14ac:dyDescent="0.2"/>
  <cols>
    <col min="1" max="1" width="62.015625" customWidth="1"/>
    <col min="2" max="3" width="18.0234375" customWidth="1"/>
  </cols>
  <sheetData>
    <row r="1" spans="1:3" ht="18" x14ac:dyDescent="0.2">
      <c r="A1" s="74" t="s">
        <v>204</v>
      </c>
      <c r="B1" s="74"/>
      <c r="C1" s="74"/>
    </row>
    <row r="2" spans="1:3" x14ac:dyDescent="0.2">
      <c r="A2" s="54" t="s">
        <v>311</v>
      </c>
      <c r="B2" s="54"/>
      <c r="C2" s="54"/>
    </row>
    <row r="4" spans="1:3" x14ac:dyDescent="0.2">
      <c r="A4" s="2" t="s">
        <v>254</v>
      </c>
      <c r="B4" s="3"/>
      <c r="C4" s="3"/>
    </row>
    <row r="5" spans="1:3" x14ac:dyDescent="0.2">
      <c r="A5" s="4" t="s">
        <v>2</v>
      </c>
      <c r="B5" s="4" t="s">
        <v>255</v>
      </c>
      <c r="C5" s="4" t="s">
        <v>124</v>
      </c>
    </row>
    <row r="6" spans="1:3" x14ac:dyDescent="0.2">
      <c r="A6" s="27" t="s">
        <v>256</v>
      </c>
      <c r="C6" s="41">
        <f>'T Contables'!$N$37</f>
        <v>24000</v>
      </c>
    </row>
    <row r="7" spans="1:3" x14ac:dyDescent="0.2">
      <c r="A7" s="42" t="s">
        <v>257</v>
      </c>
      <c r="C7" s="43">
        <f>-'T Contables'!$G$37</f>
        <v>-12000</v>
      </c>
    </row>
    <row r="8" spans="1:3" x14ac:dyDescent="0.2">
      <c r="A8" s="27" t="s">
        <v>258</v>
      </c>
      <c r="C8" s="44">
        <f>C6+C7</f>
        <v>12000</v>
      </c>
    </row>
    <row r="9" spans="1:3" x14ac:dyDescent="0.2">
      <c r="A9" s="27" t="s">
        <v>259</v>
      </c>
    </row>
    <row r="10" spans="1:3" x14ac:dyDescent="0.2">
      <c r="A10" s="42" t="s">
        <v>260</v>
      </c>
      <c r="B10" s="19">
        <f>-'T Contables'!$B$46</f>
        <v>-2000</v>
      </c>
    </row>
    <row r="11" spans="1:3" x14ac:dyDescent="0.2">
      <c r="A11" s="42" t="s">
        <v>261</v>
      </c>
      <c r="B11" s="19">
        <f>-'T Contables'!$G$46</f>
        <v>-250</v>
      </c>
    </row>
    <row r="12" spans="1:3" x14ac:dyDescent="0.2">
      <c r="A12" s="42" t="s">
        <v>262</v>
      </c>
      <c r="B12" s="19">
        <f>-'T Contables'!$L$46</f>
        <v>-1000</v>
      </c>
    </row>
    <row r="13" spans="1:3" x14ac:dyDescent="0.2">
      <c r="A13" s="42" t="s">
        <v>263</v>
      </c>
      <c r="C13" s="43">
        <f>SUM(B10:B12)</f>
        <v>-3250</v>
      </c>
    </row>
    <row r="14" spans="1:3" x14ac:dyDescent="0.2">
      <c r="A14" s="27" t="s">
        <v>264</v>
      </c>
      <c r="C14" s="44">
        <f>C8+C13</f>
        <v>8750</v>
      </c>
    </row>
    <row r="15" spans="1:3" x14ac:dyDescent="0.2">
      <c r="A15" s="27" t="s">
        <v>265</v>
      </c>
      <c r="C15" s="45">
        <f>C14</f>
        <v>8750</v>
      </c>
    </row>
    <row r="17" spans="1:3" x14ac:dyDescent="0.2">
      <c r="A17" s="2" t="s">
        <v>266</v>
      </c>
      <c r="B17" s="3"/>
      <c r="C17" s="3"/>
    </row>
    <row r="18" spans="1:3" x14ac:dyDescent="0.2">
      <c r="A18" s="4" t="s">
        <v>2</v>
      </c>
      <c r="B18" s="4" t="s">
        <v>255</v>
      </c>
      <c r="C18" s="4" t="s">
        <v>124</v>
      </c>
    </row>
    <row r="19" spans="1:3" x14ac:dyDescent="0.2">
      <c r="A19" s="27" t="s">
        <v>267</v>
      </c>
    </row>
    <row r="20" spans="1:3" x14ac:dyDescent="0.2">
      <c r="A20" s="27" t="s">
        <v>268</v>
      </c>
    </row>
    <row r="21" spans="1:3" x14ac:dyDescent="0.2">
      <c r="A21" s="42" t="s">
        <v>269</v>
      </c>
      <c r="B21" s="19">
        <f>'T Contables'!$B$10</f>
        <v>57080</v>
      </c>
    </row>
    <row r="22" spans="1:3" x14ac:dyDescent="0.2">
      <c r="A22" s="42" t="s">
        <v>270</v>
      </c>
      <c r="B22" s="19">
        <f>'T Contables'!$G$10</f>
        <v>14160</v>
      </c>
    </row>
    <row r="23" spans="1:3" x14ac:dyDescent="0.2">
      <c r="A23" s="42" t="s">
        <v>271</v>
      </c>
      <c r="B23" s="19">
        <f>'T Contables'!$L$10</f>
        <v>8000</v>
      </c>
    </row>
    <row r="24" spans="1:3" x14ac:dyDescent="0.2">
      <c r="A24" s="42" t="s">
        <v>272</v>
      </c>
      <c r="B24" s="19">
        <f>-'T Contables'!$D$19</f>
        <v>-1000</v>
      </c>
    </row>
    <row r="25" spans="1:3" x14ac:dyDescent="0.2">
      <c r="A25" s="42" t="s">
        <v>273</v>
      </c>
      <c r="B25" s="19">
        <f>'T Contables'!$G$19</f>
        <v>360</v>
      </c>
    </row>
    <row r="26" spans="1:3" x14ac:dyDescent="0.2">
      <c r="A26" s="42" t="s">
        <v>274</v>
      </c>
      <c r="B26" s="19">
        <f>'T Contables'!$L$19</f>
        <v>4000</v>
      </c>
    </row>
    <row r="27" spans="1:3" x14ac:dyDescent="0.2">
      <c r="A27" s="27" t="s">
        <v>275</v>
      </c>
      <c r="C27" s="28">
        <f>SUM(B21:B26)</f>
        <v>82600</v>
      </c>
    </row>
    <row r="28" spans="1:3" x14ac:dyDescent="0.2">
      <c r="A28" s="27" t="s">
        <v>276</v>
      </c>
    </row>
    <row r="29" spans="1:3" x14ac:dyDescent="0.2">
      <c r="A29" s="42" t="s">
        <v>277</v>
      </c>
      <c r="B29" s="19">
        <f>'T Contables'!$B$28</f>
        <v>12000</v>
      </c>
    </row>
    <row r="30" spans="1:3" x14ac:dyDescent="0.2">
      <c r="A30" s="42" t="s">
        <v>278</v>
      </c>
      <c r="B30" s="19">
        <f>-'T Contables'!$I$28</f>
        <v>-250</v>
      </c>
    </row>
    <row r="31" spans="1:3" x14ac:dyDescent="0.2">
      <c r="A31" s="27" t="s">
        <v>279</v>
      </c>
      <c r="C31" s="28">
        <f>SUM(B29:B30)</f>
        <v>11750</v>
      </c>
    </row>
    <row r="32" spans="1:3" x14ac:dyDescent="0.2">
      <c r="A32" s="27" t="s">
        <v>280</v>
      </c>
      <c r="C32" s="45">
        <f>C27+C31</f>
        <v>94350</v>
      </c>
    </row>
    <row r="34" spans="1:3" x14ac:dyDescent="0.2">
      <c r="A34" s="27" t="s">
        <v>281</v>
      </c>
    </row>
    <row r="35" spans="1:3" x14ac:dyDescent="0.2">
      <c r="A35" s="42" t="s">
        <v>282</v>
      </c>
      <c r="B35" s="19">
        <f>'T Contables'!$N$28</f>
        <v>23600</v>
      </c>
    </row>
    <row r="36" spans="1:3" x14ac:dyDescent="0.2">
      <c r="A36" s="27" t="s">
        <v>283</v>
      </c>
      <c r="C36" s="28">
        <f>SUM(B35:B35)</f>
        <v>23600</v>
      </c>
    </row>
    <row r="38" spans="1:3" x14ac:dyDescent="0.2">
      <c r="A38" s="27" t="s">
        <v>284</v>
      </c>
    </row>
    <row r="39" spans="1:3" x14ac:dyDescent="0.2">
      <c r="A39" s="42" t="s">
        <v>285</v>
      </c>
      <c r="B39" s="19">
        <f>'T Contables'!$D$37</f>
        <v>62000</v>
      </c>
    </row>
    <row r="40" spans="1:3" x14ac:dyDescent="0.2">
      <c r="A40" s="42" t="s">
        <v>286</v>
      </c>
      <c r="B40" s="43">
        <f>C15</f>
        <v>8750</v>
      </c>
    </row>
    <row r="41" spans="1:3" x14ac:dyDescent="0.2">
      <c r="A41" s="27" t="s">
        <v>287</v>
      </c>
      <c r="C41" s="28">
        <f>SUM(B39:B40)</f>
        <v>70750</v>
      </c>
    </row>
    <row r="42" spans="1:3" x14ac:dyDescent="0.2">
      <c r="A42" s="27" t="s">
        <v>288</v>
      </c>
      <c r="C42" s="45">
        <f>C36+C41</f>
        <v>94350</v>
      </c>
    </row>
    <row r="44" spans="1:3" x14ac:dyDescent="0.2">
      <c r="A44" s="42" t="s">
        <v>289</v>
      </c>
      <c r="C44" s="43">
        <f>C32-C42</f>
        <v>0</v>
      </c>
    </row>
  </sheetData>
  <mergeCells count="2">
    <mergeCell ref="A1:C1"/>
    <mergeCell ref="A2:C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11"/>
  <sheetViews>
    <sheetView showGridLines="0" zoomScaleNormal="100" workbookViewId="0">
      <selection activeCell="D6" sqref="D6"/>
    </sheetView>
  </sheetViews>
  <sheetFormatPr defaultColWidth="8.7421875" defaultRowHeight="15" x14ac:dyDescent="0.2"/>
  <cols>
    <col min="1" max="1" width="6.05078125" customWidth="1"/>
    <col min="2" max="2" width="119.9921875" customWidth="1"/>
  </cols>
  <sheetData>
    <row r="1" spans="1:2" ht="18" customHeight="1" x14ac:dyDescent="0.2">
      <c r="A1" s="55" t="s">
        <v>290</v>
      </c>
      <c r="B1" s="55"/>
    </row>
    <row r="2" spans="1:2" x14ac:dyDescent="0.2">
      <c r="A2" s="55"/>
      <c r="B2" s="55"/>
    </row>
    <row r="4" spans="1:2" ht="33.75" customHeight="1" x14ac:dyDescent="0.2">
      <c r="A4" s="46">
        <v>1</v>
      </c>
      <c r="B4" s="47" t="str">
        <f>"El libro diario registra "&amp;COUNT('Diario Simplificado'!A11:A17)&amp;" operaciones con partida doble. Total Debe S/ "&amp;TEXT('Diario Simplificado'!S20,"#,##0.00")&amp;" = total Haber S/ "&amp;TEXT('Diario Simplificado'!S21,"#,##0.00")&amp;"."</f>
        <v>El libro diario registra 7 operaciones con partida doble. Total Debe S/ 136,250.00 = total Haber S/ 136,250.00.</v>
      </c>
    </row>
    <row r="5" spans="1:2" ht="33.75" customHeight="1" x14ac:dyDescent="0.2">
      <c r="A5" s="46">
        <v>2</v>
      </c>
      <c r="B5" s="47" t="str">
        <f>"Las ventas del mes fueron S/ "&amp;TEXT('Estados Financieros'!C6,"#,##0.00")&amp;" y el costo de ventas S/ "&amp;TEXT(-'Estados Financieros'!C7,"#,##0.00")&amp;". La utilidad bruta fue S/ "&amp;TEXT('Estados Financieros'!C8,"#,##0.00")&amp;" (margen bruto "&amp;TEXT('Estados Financieros'!C8/'Estados Financieros'!C6,"0.0%")&amp;")."</f>
        <v>Las ventas del mes fueron S/ 24,000.00 y el costo de ventas S/ 12,000.00. La utilidad bruta fue S/ 12,000.00 (margen bruto 50.0%).</v>
      </c>
    </row>
    <row r="6" spans="1:2" ht="33.75" customHeight="1" x14ac:dyDescent="0.2">
      <c r="A6" s="46">
        <v>3</v>
      </c>
      <c r="B6" s="47" t="str">
        <f>"Tras alquiler, depreciación y desvalorización de existencias, el resultado del ejercicio antes de impuesto a la renta es S/ "&amp;TEXT('Estados Financieros'!C15,"#,##0.00")&amp;"."</f>
        <v>Tras alquiler, depreciación y desvalorización de existencias, el resultado del ejercicio antes de impuesto a la renta es S/ 8,750.00.</v>
      </c>
    </row>
    <row r="7" spans="1:2" ht="33.75" customHeight="1" x14ac:dyDescent="0.2">
      <c r="A7" s="46">
        <v>4</v>
      </c>
      <c r="B7" s="47" t="str">
        <f>"El total del activo es S/ "&amp;TEXT('Estados Financieros'!C32,"#,##0.00")&amp;", el pasivo S/ "&amp;TEXT('Estados Financieros'!C36,"#,##0.00")&amp;" y el patrimonio S/ "&amp;TEXT('Estados Financieros'!C41,"#,##0.00")&amp;". La ecuación patrimonial cuadra (diferencia S/ "&amp;TEXT('Estados Financieros'!C44,"#,##0.00")&amp;")."</f>
        <v>El total del activo es S/ 94,350.00, el pasivo S/ 23,600.00 y el patrimonio S/ 70,750.00. La ecuación patrimonial cuadra (diferencia S/ 0.00).</v>
      </c>
    </row>
    <row r="8" spans="1:2" ht="33.75" customHeight="1" x14ac:dyDescent="0.2">
      <c r="A8" s="46">
        <v>5</v>
      </c>
      <c r="B8" s="47" t="str">
        <f>"Las existencias quedan en S/ "&amp;TEXT('T Contables'!$L$10-'T Contables'!$D$19,"#,##0.00")&amp;" netas de desvalorización (NIC 2) y el equipo de cómputo en S/ "&amp;TEXT('T Contables'!$B$28-'T Contables'!$I$28,"#,##0.00")&amp;" netos de depreciación (NIC 16)."</f>
        <v>Las existencias quedan en S/ 7,000.00 netas de desvalorización (NIC 2) y el equipo de cómputo en S/ 11,750.00 netos de depreciación (NIC 16).</v>
      </c>
    </row>
    <row r="9" spans="1:2" ht="33.75" customHeight="1" x14ac:dyDescent="0.2">
      <c r="A9" s="46">
        <v>6</v>
      </c>
      <c r="B9" s="47" t="str">
        <f>"El IGV deja un saldo a favor de S/ "&amp;TEXT('T Contables'!$G$19,"#,##0.00")&amp;": el crédito fiscal del alquiler y de la compra supera al débito fiscal de la venta."</f>
        <v>El IGV deja un saldo a favor de S/ 360.00: el crédito fiscal del alquiler y de la compra supera al débito fiscal de la venta.</v>
      </c>
    </row>
    <row r="10" spans="1:2" ht="33.75" customHeight="1" x14ac:dyDescent="0.2">
      <c r="A10" s="46">
        <v>7</v>
      </c>
      <c r="B10" s="47" t="s">
        <v>291</v>
      </c>
    </row>
    <row r="11" spans="1:2" ht="33.75" customHeight="1" x14ac:dyDescent="0.2">
      <c r="A11" s="46">
        <v>8</v>
      </c>
      <c r="B11" s="47" t="s">
        <v>292</v>
      </c>
    </row>
  </sheetData>
  <mergeCells count="1">
    <mergeCell ref="A1:B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12"/>
  <sheetViews>
    <sheetView showGridLines="0" zoomScaleNormal="100" workbookViewId="0">
      <selection activeCell="D8" sqref="D8"/>
    </sheetView>
  </sheetViews>
  <sheetFormatPr defaultColWidth="8.7421875" defaultRowHeight="15" x14ac:dyDescent="0.2"/>
  <cols>
    <col min="1" max="1" width="6.05078125" customWidth="1"/>
    <col min="2" max="3" width="69.94921875" customWidth="1"/>
  </cols>
  <sheetData>
    <row r="1" spans="1:3" ht="18" customHeight="1" x14ac:dyDescent="0.2">
      <c r="A1" s="55" t="s">
        <v>293</v>
      </c>
      <c r="B1" s="55"/>
      <c r="C1" s="55"/>
    </row>
    <row r="2" spans="1:3" x14ac:dyDescent="0.2">
      <c r="A2" s="75"/>
      <c r="B2" s="75"/>
      <c r="C2" s="75"/>
    </row>
    <row r="3" spans="1:3" x14ac:dyDescent="0.2">
      <c r="A3" s="4" t="s">
        <v>294</v>
      </c>
      <c r="B3" s="4" t="s">
        <v>295</v>
      </c>
      <c r="C3" s="4" t="s">
        <v>296</v>
      </c>
    </row>
    <row r="4" spans="1:3" ht="31.5" customHeight="1" x14ac:dyDescent="0.2">
      <c r="A4" s="14">
        <v>1</v>
      </c>
      <c r="B4" s="8" t="s">
        <v>297</v>
      </c>
      <c r="C4" s="8" t="s">
        <v>298</v>
      </c>
    </row>
    <row r="5" spans="1:3" ht="31.5" customHeight="1" x14ac:dyDescent="0.2">
      <c r="A5" s="14">
        <v>2</v>
      </c>
      <c r="B5" s="8" t="s">
        <v>299</v>
      </c>
      <c r="C5" s="8" t="s">
        <v>300</v>
      </c>
    </row>
    <row r="6" spans="1:3" ht="31.5" customHeight="1" x14ac:dyDescent="0.2">
      <c r="A6" s="14">
        <v>3</v>
      </c>
      <c r="B6" s="8" t="s">
        <v>301</v>
      </c>
      <c r="C6" s="8" t="s">
        <v>302</v>
      </c>
    </row>
    <row r="7" spans="1:3" ht="31.5" customHeight="1" x14ac:dyDescent="0.2">
      <c r="A7" s="14">
        <v>4</v>
      </c>
      <c r="B7" s="8" t="s">
        <v>303</v>
      </c>
      <c r="C7" s="8" t="s">
        <v>304</v>
      </c>
    </row>
    <row r="8" spans="1:3" ht="31.5" customHeight="1" x14ac:dyDescent="0.2">
      <c r="A8" s="14">
        <v>5</v>
      </c>
      <c r="B8" s="8" t="s">
        <v>305</v>
      </c>
      <c r="C8" s="8" t="s">
        <v>306</v>
      </c>
    </row>
    <row r="9" spans="1:3" ht="31.5" customHeight="1" x14ac:dyDescent="0.2">
      <c r="A9" s="14">
        <v>6</v>
      </c>
      <c r="B9" s="8" t="s">
        <v>307</v>
      </c>
      <c r="C9" s="8" t="s">
        <v>308</v>
      </c>
    </row>
    <row r="10" spans="1:3" ht="31.5" customHeight="1" x14ac:dyDescent="0.2">
      <c r="A10" s="14">
        <v>7</v>
      </c>
      <c r="B10" s="8" t="s">
        <v>309</v>
      </c>
      <c r="C10" s="8" t="s">
        <v>310</v>
      </c>
    </row>
    <row r="12" spans="1:3" x14ac:dyDescent="0.2">
      <c r="B12" s="1"/>
    </row>
  </sheetData>
  <mergeCells count="1">
    <mergeCell ref="A1:C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Caratula</vt:lpstr>
      <vt:lpstr>Libros Contables</vt:lpstr>
      <vt:lpstr>T Contables</vt:lpstr>
      <vt:lpstr>Cuentas de Valuación</vt:lpstr>
      <vt:lpstr>Diario Simplificado</vt:lpstr>
      <vt:lpstr>Estados Financieros</vt:lpstr>
      <vt:lpstr>Conclusiones</vt:lpstr>
      <vt:lpstr>Fuentes</vt:lpstr>
      <vt:lpstr>Caratula!Print_Area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SENATI</cp:lastModifiedBy>
  <cp:revision>0</cp:revision>
  <dcterms:created xsi:type="dcterms:W3CDTF">2026-10-12T16:16:05Z</dcterms:created>
  <dcterms:modified xsi:type="dcterms:W3CDTF">2026-10-12T19:24:00Z</dcterms:modified>
  <dc:language>en-US</dc:language>
</cp:coreProperties>
</file>